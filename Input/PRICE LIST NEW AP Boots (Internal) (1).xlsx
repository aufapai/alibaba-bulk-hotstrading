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April Terbaru" sheetId="1" r:id="rId4"/>
    <sheet state="visible" name="Spesifikasi" sheetId="2" r:id="rId5"/>
    <sheet state="visible" name="Salinan dari 2026 April Terbaru" sheetId="3" r:id="rId6"/>
    <sheet state="hidden" name="2022 Price List &amp; Qubics" sheetId="4" r:id="rId7"/>
  </sheets>
  <definedNames/>
  <calcPr/>
  <extLst>
    <ext uri="GoogleSheetsCustomDataVersion2">
      <go:sheetsCustomData xmlns:go="http://customooxmlschemas.google.com/" r:id="rId8" roundtripDataChecksum="aBluhqT/eDiJF+j2paT7GTCYTbrO4kNn9dF2uWOZf3M="/>
    </ext>
  </extLst>
</workbook>
</file>

<file path=xl/sharedStrings.xml><?xml version="1.0" encoding="utf-8"?>
<sst xmlns="http://schemas.openxmlformats.org/spreadsheetml/2006/main" count="1356" uniqueCount="788">
  <si>
    <t>NO.</t>
  </si>
  <si>
    <t>JENIS BARANG</t>
  </si>
  <si>
    <t>SIZE</t>
  </si>
  <si>
    <t>KETERANGAN</t>
  </si>
  <si>
    <t>ISI Perdos</t>
  </si>
  <si>
    <t>HARGA
 LAMA</t>
  </si>
  <si>
    <t>NAIK</t>
  </si>
  <si>
    <t>HARGA
 BARU</t>
  </si>
  <si>
    <t>Harga terendah</t>
  </si>
  <si>
    <t>Discount PT</t>
  </si>
  <si>
    <t>price/dos</t>
  </si>
  <si>
    <t>MoQ</t>
  </si>
  <si>
    <t>Minimal Order Transaction</t>
  </si>
  <si>
    <t>USD Price/PCS
(Kurs 17.500)</t>
  </si>
  <si>
    <t>--- AP BOOTS DEWASA GROUP ---</t>
  </si>
  <si>
    <t>APB-CL-01-MLT-42</t>
  </si>
  <si>
    <t>AP CLOGS ( WARNA)</t>
  </si>
  <si>
    <t>37 - 42</t>
  </si>
  <si>
    <t>HITAM, COKLAT, BIRU, PUTIH, ABU-ABU</t>
  </si>
  <si>
    <t>APB-CL-02-MLT-42</t>
  </si>
  <si>
    <t>AP CLOGS ( WHITE, PINK )</t>
  </si>
  <si>
    <t>PUTIH , PINK</t>
  </si>
  <si>
    <t>APB-AB-03-MLT-45</t>
  </si>
  <si>
    <t>AP ALLBIKE BLACK - RED/GREEN/ORANGE</t>
  </si>
  <si>
    <t>38 - 45</t>
  </si>
  <si>
    <t>SEPATU HITAM - SOL MERAH, HIJAU, ORANGE</t>
  </si>
  <si>
    <t>APB-AB-04-BLK-45</t>
  </si>
  <si>
    <t>AP ALLBIKE GREY - BLACK</t>
  </si>
  <si>
    <t>SEPATU GREY - SOL HITAM</t>
  </si>
  <si>
    <t>APB-AB-05-MLT-43</t>
  </si>
  <si>
    <t>AP ALLBIKE 2 BLACK - RED/GREEN/ORANGE</t>
  </si>
  <si>
    <t>39 - 43</t>
  </si>
  <si>
    <t>APB-AB-06-BLK-43</t>
  </si>
  <si>
    <t>AP ALLBIKE 2 GREY - BLACK</t>
  </si>
  <si>
    <t>APB-BW-07-BLK-28</t>
  </si>
  <si>
    <t>AP BLACK ( I )</t>
  </si>
  <si>
    <t xml:space="preserve">25. - 28 </t>
  </si>
  <si>
    <t>HITAM PENDEK</t>
  </si>
  <si>
    <t>APB-BW-08-WHT-28</t>
  </si>
  <si>
    <t>AP WHITE ( I )</t>
  </si>
  <si>
    <t>25 - 28</t>
  </si>
  <si>
    <t>PUTIH PENDEK</t>
  </si>
  <si>
    <t>APB-BW-09-BLK-27</t>
  </si>
  <si>
    <t>AP BLACK ( II )</t>
  </si>
  <si>
    <t>25 - 27</t>
  </si>
  <si>
    <t>HITAM PANJANG</t>
  </si>
  <si>
    <t>APB-BW-10-BLK-27</t>
  </si>
  <si>
    <t>AP BLACK ( III ) &amp; (V)</t>
  </si>
  <si>
    <t>24.- 27</t>
  </si>
  <si>
    <t>APB-GR-11-GRN-25</t>
  </si>
  <si>
    <t>2005 GREEN</t>
  </si>
  <si>
    <t>23 - 25</t>
  </si>
  <si>
    <t>HIJAU PENDEK</t>
  </si>
  <si>
    <t>APB-GR-12-VAR-25</t>
  </si>
  <si>
    <t>2005 + MOTIF</t>
  </si>
  <si>
    <t>MOTIF PENDEK</t>
  </si>
  <si>
    <t>APB-GR-13-GRN-28</t>
  </si>
  <si>
    <t>2007 GREEN</t>
  </si>
  <si>
    <t>APB-GR-14-GRN-39</t>
  </si>
  <si>
    <t>2011 GREEN</t>
  </si>
  <si>
    <t>36 - 39</t>
  </si>
  <si>
    <t>HIJAU PANJANG UNTUK WANITA</t>
  </si>
  <si>
    <t>APB-GR-15-GRN-43</t>
  </si>
  <si>
    <t>2017 GREEN</t>
  </si>
  <si>
    <t>37 - 43</t>
  </si>
  <si>
    <t>HIJAU PANJANG</t>
  </si>
  <si>
    <t>APB-GR-16-MLT-43</t>
  </si>
  <si>
    <t>2017 GREEN LIME/TOSCA</t>
  </si>
  <si>
    <t>HIJAU LEMON/TOSCA PANJANG</t>
  </si>
  <si>
    <t>APB-BW-17-BLK-43</t>
  </si>
  <si>
    <t>9905 BLACK</t>
  </si>
  <si>
    <t>38 - 43</t>
  </si>
  <si>
    <t>HITAM PANJANG (SOL HITAM )</t>
  </si>
  <si>
    <t>APB-MT-18-BLK-44</t>
  </si>
  <si>
    <t>AP MOTO (I) BLACK / RED</t>
  </si>
  <si>
    <t>38 - 44</t>
  </si>
  <si>
    <t>HITAM - SOL MERAH</t>
  </si>
  <si>
    <t>APB-MT-19-BLK-45</t>
  </si>
  <si>
    <t>AP MOTO (II) BLACK / RED</t>
  </si>
  <si>
    <t>APB-MT-20-BLK-45</t>
  </si>
  <si>
    <t>AP MOTO (III) BLACK / RED</t>
  </si>
  <si>
    <t>APB-93-21-GRN-43</t>
  </si>
  <si>
    <t>9303 GREEN</t>
  </si>
  <si>
    <t>APB-93-22-GRN-45</t>
  </si>
  <si>
    <t>44 - 45</t>
  </si>
  <si>
    <t>HIJAU PANJANG (EXTRA LARGE )</t>
  </si>
  <si>
    <t>APB-XT-23-GRN-43</t>
  </si>
  <si>
    <t>AP XT</t>
  </si>
  <si>
    <t>HIJAU PANJANG (SOL PENTHEL )</t>
  </si>
  <si>
    <t>APB-06-24-GRN-43</t>
  </si>
  <si>
    <t>9506 GREEN</t>
  </si>
  <si>
    <t>APB-GR-25-GRN-43</t>
  </si>
  <si>
    <t>2003 GREEN</t>
  </si>
  <si>
    <t>HIJAU PANJANG (TRI-WARNA )</t>
  </si>
  <si>
    <t>APB-GR-26-GRN-43</t>
  </si>
  <si>
    <t>2006 GREEN</t>
  </si>
  <si>
    <t>APB-BW-27-MLT-43</t>
  </si>
  <si>
    <t>2015 GREEN/GREY/ORANGE/BLACK</t>
  </si>
  <si>
    <t>HIJAU/ABU-ABU/ORANGE/HITAM PANJANG (EMPAT-WARNA )</t>
  </si>
  <si>
    <t>APB-GR-28-MLT-43</t>
  </si>
  <si>
    <t>2018 ULTRAFLEX GREEN/GREY/BLUE</t>
  </si>
  <si>
    <t>HIJAU/ABU-ABU/BIRU PANJANG (EMPAT-WARNA )</t>
  </si>
  <si>
    <t>--- AP BOOTS SAFETY GROUP ---</t>
  </si>
  <si>
    <t>SKU</t>
  </si>
  <si>
    <t>Harga Baru</t>
  </si>
  <si>
    <t>APB-S4-01-YLW-43</t>
  </si>
  <si>
    <t>TERRA SAFETY S4 YELLOW</t>
  </si>
  <si>
    <t>KUNING PANJANG ( SAFETY + TOE CAP )</t>
  </si>
  <si>
    <t>APB-MG-02-YLW-43</t>
  </si>
  <si>
    <t>AP METAGUARD YELLOW</t>
  </si>
  <si>
    <t>APB-S5-03-YLW-43</t>
  </si>
  <si>
    <t>AP BOOTS SAFETY S5 YELLOW</t>
  </si>
  <si>
    <t>KUNING PANJANG ( SAFETY + TOE CAP + MIDSOLE PLATE )</t>
  </si>
  <si>
    <t>APB-S5-04-BLK-43</t>
  </si>
  <si>
    <t>AP BOOTS SAFETY S5 BLACK</t>
  </si>
  <si>
    <t>HITAM PANJANG ( SAFETY + TOE CAP + MIDSOLE PLATE )</t>
  </si>
  <si>
    <t>APB-S5-05-YLW-46</t>
  </si>
  <si>
    <t>44 - 46</t>
  </si>
  <si>
    <t>APB-MX-06-BLK-43</t>
  </si>
  <si>
    <t>AP MAX BLACK/GREY</t>
  </si>
  <si>
    <t>HITAM PENDEK ( SAFETY + TOE CAP )</t>
  </si>
  <si>
    <t>APB-MX-07-BLK-43</t>
  </si>
  <si>
    <t>AP MAX BROWN/BLACK</t>
  </si>
  <si>
    <t>--- AP TERRA GROUP ---</t>
  </si>
  <si>
    <t>APB-TC-01-BLK-27</t>
  </si>
  <si>
    <t>TERRA ECO 1 BL</t>
  </si>
  <si>
    <t>APB-TC-02-BLK-27</t>
  </si>
  <si>
    <t>TERRA ECO 2 BL</t>
  </si>
  <si>
    <t>APB-TC-03-BLK-42</t>
  </si>
  <si>
    <t>TERRA ECO 3 BL</t>
  </si>
  <si>
    <t>38 - 42</t>
  </si>
  <si>
    <t>HITAM PANJANG SOL PENTHEL</t>
  </si>
  <si>
    <t>APB-TC-04-MLT-43</t>
  </si>
  <si>
    <t>TERRA ECO 3 GR/YL/OR</t>
  </si>
  <si>
    <t>HIJAU/KUNIING/ORANGE PANJANG SOL PENTHEL</t>
  </si>
  <si>
    <t>APB-TC-05-GRN-28</t>
  </si>
  <si>
    <t>TERRA ECO 5 GR</t>
  </si>
  <si>
    <t>HIJAU PENDEK SOL PENTHEL</t>
  </si>
  <si>
    <t>APB-TC-06-WHT-28</t>
  </si>
  <si>
    <t>TERRA ECO 5 WH</t>
  </si>
  <si>
    <t>PUTIH PENDEK SOL PENTHEL</t>
  </si>
  <si>
    <t>APB-T5-07-GRN-42</t>
  </si>
  <si>
    <t>TERRA 5 GR</t>
  </si>
  <si>
    <t>HIJAU PANJANG SOL PENTHEL</t>
  </si>
  <si>
    <t>APB-T3-08-BLK-42</t>
  </si>
  <si>
    <t>TERRA 3 BL/YL</t>
  </si>
  <si>
    <t>HITAM PANJANG (SOL KUNING )</t>
  </si>
  <si>
    <t>APB-T3-09-GRN-42</t>
  </si>
  <si>
    <t>TERRA 3 GR - RED</t>
  </si>
  <si>
    <t>HIJAU PANJANG (SOL MERAH )</t>
  </si>
  <si>
    <t>APB-T2-10-GRN-27</t>
  </si>
  <si>
    <t>TERRA 2 GR</t>
  </si>
  <si>
    <t>APB-TR-11-MLT-43</t>
  </si>
  <si>
    <t>TERRA GR/WH/YL</t>
  </si>
  <si>
    <t>HIJAU, PUTIH, KUNING PANJANG</t>
  </si>
  <si>
    <t>APB-TA-12-VAR-43</t>
  </si>
  <si>
    <t>TERRA ARMY</t>
  </si>
  <si>
    <t>40 - 43</t>
  </si>
  <si>
    <t>ARMY PANJANG</t>
  </si>
  <si>
    <t>APB-TF-13-VAR-43</t>
  </si>
  <si>
    <t>TERRA FOREST</t>
  </si>
  <si>
    <t>FOREST PANJANG</t>
  </si>
  <si>
    <t>APB-TG-14-BLK-43</t>
  </si>
  <si>
    <t>TERRA GP BLACK</t>
  </si>
  <si>
    <t>APB-TG-15-GRN-43</t>
  </si>
  <si>
    <t>TERRA GP GREEN</t>
  </si>
  <si>
    <t>--- AP CHEF GROUP ---</t>
  </si>
  <si>
    <t>APB-CF-01-BLK-45</t>
  </si>
  <si>
    <t>AP CHEF BLACK/WHITE</t>
  </si>
  <si>
    <t>HITAM PUTIH</t>
  </si>
  <si>
    <t>No Certificated</t>
  </si>
  <si>
    <t>--- AP MEDIC GROUP ---</t>
  </si>
  <si>
    <t>APB-MD-01-MLT-45</t>
  </si>
  <si>
    <t>AP MEDIC BLACK/BLUE/GREEN/WHITE</t>
  </si>
  <si>
    <t>36 - 45</t>
  </si>
  <si>
    <t>HITAM/BIRU/HIJAU/PUTIH</t>
  </si>
  <si>
    <t>--- AP ORCA GROUP ---</t>
  </si>
  <si>
    <t>APB-OR-01-GRN-43</t>
  </si>
  <si>
    <t>ORCA GR</t>
  </si>
  <si>
    <t>--- AP BOOTS ANAK GROUP ---</t>
  </si>
  <si>
    <t>APB-AN-01-MLT-28</t>
  </si>
  <si>
    <t>AP KIDS MULTI</t>
  </si>
  <si>
    <t>22 - 28</t>
  </si>
  <si>
    <t>ANAK-ANAK KECIL (MULTI WARNA )</t>
  </si>
  <si>
    <t>APB-AN-02-MLT-28</t>
  </si>
  <si>
    <t>AP KIDS STABILLO</t>
  </si>
  <si>
    <t>APB-AN-03-VAR-20</t>
  </si>
  <si>
    <t>9307 W</t>
  </si>
  <si>
    <t>15 - 20</t>
  </si>
  <si>
    <t>ANAK-ANAK KECIL</t>
  </si>
  <si>
    <t>APB-AN-04-VAR-19</t>
  </si>
  <si>
    <t>GRANDPRIX</t>
  </si>
  <si>
    <t>17 - 19</t>
  </si>
  <si>
    <t>APB-AN-05-VAR-21</t>
  </si>
  <si>
    <t>9309 W</t>
  </si>
  <si>
    <t>19 - 21</t>
  </si>
  <si>
    <t>WARNA ANAK-ANAK BESAR</t>
  </si>
  <si>
    <t>APB-AN-06-VAR-24</t>
  </si>
  <si>
    <t>2001 W</t>
  </si>
  <si>
    <t>22 - 24</t>
  </si>
  <si>
    <t>WARNA TANGGUNG PENDEK</t>
  </si>
  <si>
    <t>APB-AN-07-GRN-24</t>
  </si>
  <si>
    <t>2001 GR</t>
  </si>
  <si>
    <t>HIJAU TANGGUNG PENDEK</t>
  </si>
  <si>
    <t>APB-AN-08-VAR-24</t>
  </si>
  <si>
    <t>2001 ROOT N LEAVES</t>
  </si>
  <si>
    <t>ROOT N LEAVES TANGGUNG PENDEK</t>
  </si>
  <si>
    <t>APB-AN-09-VAR-28</t>
  </si>
  <si>
    <t>AP SAFARI</t>
  </si>
  <si>
    <t>PATTERN BINATANG UNTUK ANAK-ANAK KECIL</t>
  </si>
  <si>
    <t>APB-AN-10-VAR-28</t>
  </si>
  <si>
    <t>AP JASMINE</t>
  </si>
  <si>
    <t>PATTERN BONEKA UNTUK ANAK-ANAK KECIL</t>
  </si>
  <si>
    <t>--- AP BOOTS BOLA GROUP ---</t>
  </si>
  <si>
    <t>APB-B1-01-BLK-42</t>
  </si>
  <si>
    <t>961 / 967 BL</t>
  </si>
  <si>
    <t>AP BOLA HITAM (BESAR )</t>
  </si>
  <si>
    <t>APB-B3-02-BLK-36</t>
  </si>
  <si>
    <t>963 BL</t>
  </si>
  <si>
    <t>35 - 36</t>
  </si>
  <si>
    <t>AP BOLA HITAM (TANGGUNG )</t>
  </si>
  <si>
    <t>APB-B3-03-WHT-43</t>
  </si>
  <si>
    <t>963 / 965 WH</t>
  </si>
  <si>
    <t>AP BOLA PUTIH (BESAR )</t>
  </si>
  <si>
    <t>APB-B3-04-WHT-36</t>
  </si>
  <si>
    <t>963 WH</t>
  </si>
  <si>
    <t>AP BOLA PUTIH (TANGGUNG )</t>
  </si>
  <si>
    <t>APB-B3-05-VAR-43</t>
  </si>
  <si>
    <t>963 CR</t>
  </si>
  <si>
    <t>AP BOLA CREAM (BESAR )</t>
  </si>
  <si>
    <t>APB-B6-06-WHT-43</t>
  </si>
  <si>
    <t>969 WH</t>
  </si>
  <si>
    <t>AP BOLA PUTIH 2 WARNA (BESAR )</t>
  </si>
  <si>
    <t>APB-B6-07-BLK-43</t>
  </si>
  <si>
    <t>969 BL</t>
  </si>
  <si>
    <t>AP BOLA HITAM 2 WARNA (BESAR )</t>
  </si>
  <si>
    <t>--- AP BOOTS VANTOPEL GROUP ---</t>
  </si>
  <si>
    <t>APB-VT-01-BLK-42</t>
  </si>
  <si>
    <t>985 BL</t>
  </si>
  <si>
    <t>VAN SLOP HITAM</t>
  </si>
  <si>
    <t>APB-VT-02-BLK-41</t>
  </si>
  <si>
    <t>987/989 /991/995/997/1001 BL</t>
  </si>
  <si>
    <t>38 - 41</t>
  </si>
  <si>
    <t>VAN SANDAL HITAM</t>
  </si>
  <si>
    <t>APB-VT-03-BLK-41</t>
  </si>
  <si>
    <t>999 BL</t>
  </si>
  <si>
    <t>APB-VT-04-BLK-42</t>
  </si>
  <si>
    <t>977 BL</t>
  </si>
  <si>
    <t>VAN SEPATU KANTOR HITAM</t>
  </si>
  <si>
    <t>APB-VT-05-BLK-41</t>
  </si>
  <si>
    <t>1003 BL</t>
  </si>
  <si>
    <t>APB-WK-06-BLK-42</t>
  </si>
  <si>
    <t>HOBBY &amp; WORK BLACK/RED</t>
  </si>
  <si>
    <t>39 - 42</t>
  </si>
  <si>
    <t>VAN SEPATU KANTOR HITAM (SOLE MERAH)</t>
  </si>
  <si>
    <t>Nama Produk</t>
  </si>
  <si>
    <t>Fitur Keamanan</t>
  </si>
  <si>
    <t>Material/Konstruksi</t>
  </si>
  <si>
    <t>Dimensi/Ukuran</t>
  </si>
  <si>
    <t>Berat (Est.)</t>
  </si>
  <si>
    <t>Harga</t>
  </si>
  <si>
    <t>Sumber</t>
  </si>
  <si>
    <t>AP Chef</t>
  </si>
  <si>
    <t>Anti-slip, Tahan Kimia (Asam/Deterjen), Tahan Lemak &amp; Minyak</t>
  </si>
  <si>
    <t>RubberTech (Tanpa PVC), Sol Ortholite</t>
  </si>
  <si>
    <t>EU 39-43</t>
  </si>
  <si>
    <t>1.4 kg per pasang / 13.5 kg per karton</t>
  </si>
  <si>
    <t>Rp169.900 - Rp229.900</t>
  </si>
  <si>
    <t>[1, 2]</t>
  </si>
  <si>
    <t>AP Medic</t>
  </si>
  <si>
    <t>Anti-statik, Anti-slip (Level C+D), Ergonomis</t>
  </si>
  <si>
    <t>RubberTech (Bebas PVC), Sol Ortholite</t>
  </si>
  <si>
    <t>EU 36-45</t>
  </si>
  <si>
    <t>1.2 kg per pasang / 20.0 kg per karton</t>
  </si>
  <si>
    <t>Rp278.000 - Rp299.900</t>
  </si>
  <si>
    <t>[1-4]</t>
  </si>
  <si>
    <t>Terra Safety S4</t>
  </si>
  <si>
    <t>Pelindung Ujung Baja (200J), Tahan Panas 300°C, Scotlite Reflektif</t>
  </si>
  <si>
    <t>PVC / Anti-statik, Sol Kepadatan Tinggi</t>
  </si>
  <si>
    <t>3.0 kg per pasang / 30.0 kg per karton</t>
  </si>
  <si>
    <t>Tidak tersedia</t>
  </si>
  <si>
    <t>[1, 2, 5]</t>
  </si>
  <si>
    <t>AP Metaguard</t>
  </si>
  <si>
    <t>Pelindung Ujung Baja (200J), Pelindung Metatarsal Internal, 3M Scotchlite</t>
  </si>
  <si>
    <t>PVC Diperkuat / Karet</t>
  </si>
  <si>
    <t>2.5 kg per pasang</t>
  </si>
  <si>
    <t>Rp219.900 - Rp289.900</t>
  </si>
  <si>
    <t>[1, 2, 6]</t>
  </si>
  <si>
    <t>AP Safety S5</t>
  </si>
  <si>
    <t>Pelindung Ujung Baja (200J), Midsole Besi (Anti-Paku), Anti-Statik</t>
  </si>
  <si>
    <t>PVC-Nitrile Alloy</t>
  </si>
  <si>
    <t>EU 39-46</t>
  </si>
  <si>
    <t>2.7 kg per pasang / 32.4 kg per karton</t>
  </si>
  <si>
    <t>Rp285.000</t>
  </si>
  <si>
    <t>[1, 2, 7]</t>
  </si>
  <si>
    <t>AP Max</t>
  </si>
  <si>
    <t>Pelindung Keamanan (Sepatu Proyek), Fleksibilitas Tinggi</t>
  </si>
  <si>
    <t>Polimer Ultraflex</t>
  </si>
  <si>
    <t>1.9 kg per pasang</t>
  </si>
  <si>
    <t>Rp339.900</t>
  </si>
  <si>
    <t>[1, 2, 8]</t>
  </si>
  <si>
    <t>Model / Seri</t>
  </si>
  <si>
    <t>Kategori &amp; Penggunaan</t>
  </si>
  <si>
    <t>Material Utama</t>
  </si>
  <si>
    <t>Fitur Keselamatan &amp; Spesifikasi Unggulan</t>
  </si>
  <si>
    <t>Pilihan Warna</t>
  </si>
  <si>
    <t>Ukuran (EU)</t>
  </si>
  <si>
    <t>Estimasi Berat (per pasang)</t>
  </si>
  <si>
    <t>Kuliner, Hospitality, &amp; Dapur Komersial</t>
  </si>
  <si>
    <t>RubberTech (100% Bebas PVC)</t>
  </si>
  <si>
    <t>Anti-slip, tahan suhu ekstrim (-20°C hingga 120°C), bisa dicuci di mesin cuci, bantalan Ortholite footbed, tahan lemak/minyak.</t>
  </si>
  <si>
    <t>Putih, Hitam</t>
  </si>
  <si>
    <t>0.7 kg - 1.4 kg</t>
  </si>
  <si>
    <t>Medis, Laboratorium, &amp; Klinik</t>
  </si>
  <si>
    <t>RubberTech Anti-mikroba</t>
  </si>
  <si>
    <t>Anti-statik, lolos uji anti-slip tertinggi (kondisi C+D), bisa disterilisasi dengan Auto Clave (hingga 120°C), bantalan Ortholite footbed.</t>
  </si>
  <si>
    <t>Hitam, Putih, Biru, Hijau, Pink</t>
  </si>
  <si>
    <t>1.2 kg - 1.8 kg</t>
  </si>
  <si>
    <t>Industri Berat, Peleburan, &amp; Konstruksi</t>
  </si>
  <si>
    <t>PVC / Anti-Statik</t>
  </si>
  <si>
    <t>Tahan suhu panas ekstrim hingga 300°C, ujung besi (Steel Toe Cap 200 Joule), Scotlite reflektif, pelapis anti-bakteri Sanitized.</t>
  </si>
  <si>
    <t>Kuning/Hitam, Putih/Hitam, Hijau, Hitam</t>
  </si>
  <si>
    <t>~3.0 kg</t>
  </si>
  <si>
    <t>Pertambangan, Konstruksi, &amp; Alat Berat</t>
  </si>
  <si>
    <t>Reinforced PVC / Karet</t>
  </si>
  <si>
    <t>Dilengkapi pelindung Metatarsal internal untuk melindungi punggung kaki dari benturan, ujung besi (Steel Toe Cap 200J), pita reflektif 3M Scotlite.</t>
  </si>
  <si>
    <t>Kuning/Hitam, Hitam/Abu-abu</t>
  </si>
  <si>
    <t>~2.5 kg</t>
  </si>
  <si>
    <t>Safety S5</t>
  </si>
  <si>
    <t>Pekerjaan Umum, Demolisi, &amp; Standar Tinggi</t>
  </si>
  <si>
    <t>PVC Kualitas Tinggi</t>
  </si>
  <si>
    <t>Lulus standar EN 20345, ujung besi (Steel Toe Cap 200J), sol baja anti-tusuk (Steel Midsole), pita reflektif 3M, anti-statik.</t>
  </si>
  <si>
    <t>Kuning, Hitam</t>
  </si>
  <si>
    <t>39 - 46 (Jumbo Size)</t>
  </si>
  <si>
    <t>~2.7 kg</t>
  </si>
  <si>
    <t>Supervisi Proyek, Pertanian, &amp; Engineering</t>
  </si>
  <si>
    <t>Ultraflex Polymer</t>
  </si>
  <si>
    <t>Desain ankle boot (pendek) yang sangat fleksibel dan bernapas, ringan, multi-fungsi untuk mobilitas tinggi di lingkungan kerja atau kebun.</t>
  </si>
  <si>
    <t>Hitam/Abu-abu, Cokelat/Hitam</t>
  </si>
  <si>
    <t>d</t>
  </si>
  <si>
    <t>title</t>
  </si>
  <si>
    <r>
      <rPr>
        <rFont val="Roboto"/>
        <b/>
        <color theme="1"/>
        <sz val="9.0"/>
      </rPr>
      <t>SIZE</t>
    </r>
  </si>
  <si>
    <t>description</t>
  </si>
  <si>
    <t>piece/dos</t>
  </si>
  <si>
    <r>
      <rPr>
        <rFont val="Roboto"/>
        <b/>
        <color rgb="FF000000"/>
        <sz val="9.0"/>
      </rPr>
      <t xml:space="preserve">HARGA
</t>
    </r>
    <r>
      <rPr>
        <rFont val="Roboto"/>
        <b/>
        <color rgb="FF000000"/>
        <sz val="9.0"/>
      </rPr>
      <t>LAMA</t>
    </r>
  </si>
  <si>
    <r>
      <rPr>
        <rFont val="Roboto"/>
        <b/>
        <color theme="1"/>
        <sz val="9.0"/>
      </rPr>
      <t>NAIK</t>
    </r>
  </si>
  <si>
    <t>price piece (2025)</t>
  </si>
  <si>
    <t>Harga terendah yang bisa ditawarkan</t>
  </si>
  <si>
    <t>USD Price/PCS (Kurs 17.000)</t>
  </si>
  <si>
    <t>Dimension (PXLXT)/dos</t>
  </si>
  <si>
    <t>Weight (Kg) dos</t>
  </si>
  <si>
    <t>CBM/Dos</t>
  </si>
  <si>
    <t>Specs In Point</t>
  </si>
  <si>
    <t>image_link</t>
  </si>
  <si>
    <t>link</t>
  </si>
  <si>
    <t>Asumsi Harga Diskon</t>
  </si>
  <si>
    <t xml:space="preserve">[BRAND]-[CATEGORY]-[MODEL]-[VARIANT]-[SIZE]
</t>
  </si>
  <si>
    <r>
      <rPr>
        <rFont val="Roboto"/>
        <b/>
        <color rgb="FF000000"/>
        <sz val="9.0"/>
      </rPr>
      <t>---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b/>
        <color rgb="FF000000"/>
        <sz val="9.0"/>
      </rPr>
      <t>BOOTS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DEWASA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GROUP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---</t>
    </r>
  </si>
  <si>
    <t>BELUM FIX BISA BERUBAH</t>
  </si>
  <si>
    <t xml:space="preserve"> </t>
  </si>
  <si>
    <t>APB-CL-01-37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</si>
  <si>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CLOGS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WARNA)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</si>
  <si>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</si>
  <si>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HITAM,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COKLAT,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BIRU,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PUTIH,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ABU-ABU</t>
    </r>
  </si>
  <si>
    <t>75 x 55 x 60</t>
  </si>
  <si>
    <t>20.0 - 25.0</t>
  </si>
  <si>
    <t>Waterproof; Anti-Slip; Desain Clogs Slip-on; Material PVC. 1</t>
  </si>
  <si>
    <t>[image-ap-clogs-warna]</t>
  </si>
  <si>
    <r>
      <rPr>
        <rFont val="Roboto"/>
        <color rgb="FF1155CC"/>
        <sz val="9.0"/>
        <u/>
      </rPr>
      <t>https://shopee.co.id/apbootsofficial</t>
    </r>
  </si>
  <si>
    <t>APB-CL-02-37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</si>
  <si>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CLOGS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WHITE,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PINK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</si>
  <si>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</si>
  <si>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,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PINK</t>
    </r>
  </si>
  <si>
    <t>76 x 55 x 60</t>
  </si>
  <si>
    <t>20.0 - 25.1</t>
  </si>
  <si>
    <t>Waterproof; Anti-Slip; Desain Clogs Slip-on; Material PVC. 2</t>
  </si>
  <si>
    <r>
      <rPr>
        <rFont val="Roboto"/>
        <color rgb="FF1155CC"/>
        <sz val="9.0"/>
        <u/>
      </rPr>
      <t>https://shopee.co.id/apbootsofficial</t>
    </r>
  </si>
  <si>
    <t>APB-AB-01-37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</si>
  <si>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ALLBIKE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RED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</si>
  <si>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45</t>
    </r>
  </si>
  <si>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MERAH</t>
    </r>
  </si>
  <si>
    <t>65 x 45 x 50</t>
  </si>
  <si>
    <t>16.0 - 20.0</t>
  </si>
  <si>
    <t>Desain Aerodinamis; Full Karet (Tanpa Lem); Anti-Air; Sirkulasi Udara. 1</t>
  </si>
  <si>
    <t>[image-ap-allbike-red]</t>
  </si>
  <si>
    <r>
      <rPr>
        <rFont val="Roboto"/>
        <color rgb="FF1155CC"/>
        <sz val="9.0"/>
        <u/>
      </rPr>
      <t>https://shopee.co.id/apbootsofficial</t>
    </r>
  </si>
  <si>
    <t>APB-AB-02-37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</si>
  <si>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ALLBIKE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</si>
  <si>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45</t>
    </r>
  </si>
  <si>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HIJAU</t>
    </r>
  </si>
  <si>
    <r>
      <rPr>
        <rFont val="Roboto"/>
        <color rgb="FF1155CC"/>
        <sz val="9.0"/>
        <u/>
      </rPr>
      <t>https://shopee.co.id/apbootsofficial</t>
    </r>
  </si>
  <si>
    <t>APB-AB-03-37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</si>
  <si>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ALLBIKE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ORANGE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</si>
  <si>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45</t>
    </r>
  </si>
  <si>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ORANGE</t>
    </r>
  </si>
  <si>
    <r>
      <rPr>
        <rFont val="Roboto"/>
        <color rgb="FF1155CC"/>
        <sz val="9.0"/>
        <u/>
      </rPr>
      <t>https://shopee.co.id/apbootsofficial</t>
    </r>
  </si>
  <si>
    <t>APB-AB-04-37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</si>
  <si>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ALLBIKE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RED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</si>
  <si>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</si>
  <si>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MERAH</t>
    </r>
  </si>
  <si>
    <t>Toko Online AP Boots Official Shop | Shopee Indonesia</t>
  </si>
  <si>
    <t>APB-BW-01-37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</si>
  <si>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  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I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</si>
  <si>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28.0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</si>
  <si>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</si>
  <si>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t>Boot Pendek; Heavy Duty; Tahan Lumpur; Hitam Mengkilap. 1</t>
  </si>
  <si>
    <t>[image-ap-black-1]</t>
  </si>
  <si>
    <r>
      <rPr>
        <rFont val="Roboto"/>
        <color rgb="FF1155CC"/>
        <sz val="9.0"/>
        <u/>
      </rPr>
      <t>https://shopee.co.id/apbootsofficial</t>
    </r>
  </si>
  <si>
    <t>APB-BW-02-37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</si>
  <si>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WHITE</t>
    </r>
    <r>
      <rPr>
        <rFont val="Roboto"/>
        <color rgb="FF000000"/>
        <sz val="9.0"/>
      </rPr>
      <t xml:space="preserve">  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I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</si>
  <si>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28.0</t>
    </r>
  </si>
  <si>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</si>
  <si>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t>60 x 40 x 50</t>
  </si>
  <si>
    <t>14.0 - 18.0</t>
  </si>
  <si>
    <t>Boot Panjang; Waterproof; Konstruksi PVC Kokoh; Mudah Dicuci. 1</t>
  </si>
  <si>
    <t>[image-ap-black-2]</t>
  </si>
  <si>
    <r>
      <rPr>
        <rFont val="Roboto"/>
        <color rgb="FF1155CC"/>
        <sz val="9.0"/>
        <u/>
      </rPr>
      <t>https://shopee.co.id/apbootsofficial</t>
    </r>
  </si>
  <si>
    <t>APB-BW-03-37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</si>
  <si>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  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II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</si>
  <si>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27.0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</si>
  <si>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</si>
  <si>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r>
      <rPr>
        <rFont val="Roboto"/>
        <color rgb="FF1155CC"/>
        <sz val="9.0"/>
        <u/>
      </rPr>
      <t>https://shopee.co.id/apbootsofficial</t>
    </r>
  </si>
  <si>
    <t>APB-BW-04-37</t>
  </si>
  <si>
    <t>AP BLACK    ( III ) &amp; (V)</t>
  </si>
  <si>
    <r>
      <rPr>
        <rFont val="Roboto"/>
        <color rgb="FF000000"/>
        <sz val="9.0"/>
      </rPr>
      <t>24.0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27.0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</si>
  <si>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</si>
  <si>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r>
      <rPr>
        <rFont val="Roboto"/>
        <color rgb="FF1155CC"/>
        <sz val="9.0"/>
        <u/>
      </rPr>
      <t>https://shopee.co.id/apbootsofficial</t>
    </r>
  </si>
  <si>
    <t>APB-GR-01</t>
  </si>
  <si>
    <r>
      <rPr>
        <rFont val="Roboto"/>
        <color rgb="FF000000"/>
        <sz val="9.0"/>
      </rPr>
      <t>2005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</si>
  <si>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23.0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25.0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</si>
  <si>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</si>
  <si>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t>Shaft Tinggi (Long Shaft); Proteksi Kaki Maksimal; Warna Stabil. 1</t>
  </si>
  <si>
    <t>[image-ap-2017-green]</t>
  </si>
  <si>
    <r>
      <rPr>
        <rFont val="Roboto"/>
        <color rgb="FF1155CC"/>
        <sz val="9.0"/>
        <u/>
      </rPr>
      <t>https://shopee.co.id/apbootsofficial</t>
    </r>
  </si>
  <si>
    <t>APB-GR-02</t>
  </si>
  <si>
    <r>
      <rPr>
        <rFont val="Roboto"/>
        <color rgb="FF000000"/>
        <sz val="9.0"/>
      </rPr>
      <t>2005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MOTIF</t>
    </r>
  </si>
  <si>
    <r>
      <rPr>
        <rFont val="Roboto"/>
        <color rgb="FF000000"/>
        <sz val="9.0"/>
      </rPr>
      <t>23.0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25.0</t>
    </r>
  </si>
  <si>
    <r>
      <rPr>
        <rFont val="Roboto"/>
        <color rgb="FF000000"/>
        <sz val="9.0"/>
      </rPr>
      <t>MOTIF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</si>
  <si>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r>
      <rPr>
        <rFont val="Roboto"/>
        <color rgb="FF1155CC"/>
        <sz val="9.0"/>
        <u/>
      </rPr>
      <t>https://shopee.co.id/apbootsofficial</t>
    </r>
  </si>
  <si>
    <t>APB-GR-03</t>
  </si>
  <si>
    <r>
      <rPr>
        <rFont val="Roboto"/>
        <color rgb="FF000000"/>
        <sz val="9.0"/>
      </rPr>
      <t>2007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</si>
  <si>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28.0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</si>
  <si>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</si>
  <si>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r>
      <rPr>
        <rFont val="Roboto"/>
        <color rgb="FF1155CC"/>
        <sz val="9.0"/>
        <u/>
      </rPr>
      <t>https://shopee.co.id/apbootsofficial</t>
    </r>
  </si>
  <si>
    <t>APB-GR-04</t>
  </si>
  <si>
    <r>
      <rPr>
        <rFont val="Roboto"/>
        <color rgb="FF000000"/>
        <sz val="9.0"/>
      </rPr>
      <t>2011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</si>
  <si>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36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39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</si>
  <si>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UNTUK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WANITA</t>
    </r>
  </si>
  <si>
    <r>
      <rPr>
        <rFont val="Roboto"/>
        <color rgb="FF1155CC"/>
        <sz val="9.0"/>
        <u/>
      </rPr>
      <t>https://shopee.co.id/apbootsofficial</t>
    </r>
  </si>
  <si>
    <t>APB-GR-05</t>
  </si>
  <si>
    <r>
      <rPr>
        <rFont val="Roboto"/>
        <color rgb="FF000000"/>
        <sz val="9.0"/>
      </rPr>
      <t>2017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</si>
  <si>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</si>
  <si>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</si>
  <si>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r>
      <rPr>
        <rFont val="Roboto"/>
        <color rgb="FF1155CC"/>
        <sz val="9.0"/>
        <u/>
      </rPr>
      <t>https://shopee.co.id/apbootsofficial</t>
    </r>
  </si>
  <si>
    <t>APB-GR-06</t>
  </si>
  <si>
    <r>
      <rPr>
        <rFont val="Roboto"/>
        <color rgb="FF000000"/>
        <sz val="9.0"/>
      </rPr>
      <t>2017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LIME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</si>
  <si>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</si>
  <si>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LEMON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</si>
  <si>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r>
      <rPr>
        <rFont val="Roboto"/>
        <color rgb="FF1155CC"/>
        <sz val="9.0"/>
        <u/>
      </rPr>
      <t>https://shopee.co.id/apbootsofficial</t>
    </r>
  </si>
  <si>
    <t>APB-GR-07</t>
  </si>
  <si>
    <r>
      <rPr>
        <rFont val="Roboto"/>
        <color rgb="FF000000"/>
        <sz val="9.0"/>
      </rPr>
      <t>2017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TOSCA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</si>
  <si>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</si>
  <si>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TOSCA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</si>
  <si>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r>
      <rPr>
        <rFont val="Roboto"/>
        <color rgb="FF1155CC"/>
        <sz val="9.0"/>
        <u/>
      </rPr>
      <t>https://shopee.co.id/apbootsofficial</t>
    </r>
  </si>
  <si>
    <t>APB-GR-08</t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</si>
  <si>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</si>
  <si>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</si>
  <si>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APB-MT-01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</si>
  <si>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MOTO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(I)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RED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</si>
  <si>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44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</si>
  <si>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MERAH</t>
    </r>
  </si>
  <si>
    <t>APB-MT-02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</si>
  <si>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MOTO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(II)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RED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</si>
  <si>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45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</si>
  <si>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MERAH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</si>
  <si>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MOTO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(III)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RED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</si>
  <si>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45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</si>
  <si>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MERAH</t>
    </r>
  </si>
  <si>
    <t>Biker Special; Anti Hujan; Sol Merah Kontras; Durabilitas Tinggi. 1</t>
  </si>
  <si>
    <t>[image-ap-moto-3]</t>
  </si>
  <si>
    <r>
      <rPr>
        <rFont val="Roboto"/>
        <color rgb="FF1155CC"/>
        <sz val="9.0"/>
        <u/>
      </rPr>
      <t>https://shopee.co.id/apbootsofficial</t>
    </r>
  </si>
  <si>
    <t>APB-93-01</t>
  </si>
  <si>
    <r>
      <rPr>
        <rFont val="Roboto"/>
        <color rgb="FF000000"/>
        <sz val="9.0"/>
      </rPr>
      <t>9303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</si>
  <si>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</si>
  <si>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</si>
  <si>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t>APB-93-02</t>
  </si>
  <si>
    <r>
      <rPr>
        <rFont val="Roboto"/>
        <color rgb="FF000000"/>
        <sz val="9.0"/>
      </rPr>
      <t>9303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</si>
  <si>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44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45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</si>
  <si>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(EXTRA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LARGE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</si>
  <si>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APB-XT-01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</si>
  <si>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XT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</si>
  <si>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</si>
  <si>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</si>
  <si>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APB-95-01</t>
  </si>
  <si>
    <r>
      <rPr>
        <rFont val="Roboto"/>
        <color rgb="FF000000"/>
        <sz val="9.0"/>
      </rPr>
      <t>9506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</si>
  <si>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</si>
  <si>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</si>
  <si>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t>APB-03-01</t>
  </si>
  <si>
    <r>
      <rPr>
        <rFont val="Roboto"/>
        <color rgb="FF000000"/>
        <sz val="9.0"/>
      </rPr>
      <t>2003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</si>
  <si>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</si>
  <si>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(TRI-WARNA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</si>
  <si>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APB-06-01</t>
  </si>
  <si>
    <r>
      <rPr>
        <rFont val="Roboto"/>
        <color rgb="FF000000"/>
        <sz val="9.0"/>
      </rPr>
      <t>2006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</si>
  <si>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</si>
  <si>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(TRI-WARNA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</si>
  <si>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APB-15-01</t>
  </si>
  <si>
    <r>
      <rPr>
        <rFont val="Roboto"/>
        <color rgb="FF000000"/>
        <sz val="9.0"/>
      </rPr>
      <t>2015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</si>
  <si>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</si>
  <si>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(EMPAT-WARNA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</si>
  <si>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APB-15-02</t>
  </si>
  <si>
    <r>
      <rPr>
        <rFont val="Roboto"/>
        <color rgb="FF000000"/>
        <sz val="9.0"/>
      </rPr>
      <t>2015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GREY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</si>
  <si>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</si>
  <si>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GREY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(EMPAT-WARNA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</si>
  <si>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APB-15-03</t>
  </si>
  <si>
    <r>
      <rPr>
        <rFont val="Roboto"/>
        <color rgb="FF000000"/>
        <sz val="9.0"/>
      </rPr>
      <t>2015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ORANGE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</si>
  <si>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</si>
  <si>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ORANGE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(EMPAT-WARNA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</si>
  <si>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APB-15-04</t>
  </si>
  <si>
    <r>
      <rPr>
        <rFont val="Roboto"/>
        <color rgb="FF000000"/>
        <sz val="9.0"/>
      </rPr>
      <t>2015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</si>
  <si>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</si>
  <si>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(EMPAT-WARNA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</si>
  <si>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APB-18-01</t>
  </si>
  <si>
    <r>
      <rPr>
        <rFont val="Roboto"/>
        <color rgb="FF000000"/>
        <sz val="9.0"/>
      </rPr>
      <t>2018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ULTRAFLEX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GREEN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</si>
  <si>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</si>
  <si>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(EMPAT-WARNA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</si>
  <si>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45 x 35 x 55</t>
  </si>
  <si>
    <t>10.0 - 15.0</t>
  </si>
  <si>
    <t>Material Ultra Fleksibel; Empat Warna; Ergonomi Gerak Maksimal. 1</t>
  </si>
  <si>
    <t>[image-2018-ultraflex]</t>
  </si>
  <si>
    <r>
      <rPr>
        <rFont val="Roboto"/>
        <color rgb="FF1155CC"/>
        <sz val="9.0"/>
        <u/>
      </rPr>
      <t>https://shopee.co.id/apbootsofficial</t>
    </r>
  </si>
  <si>
    <t>APB-18-02</t>
  </si>
  <si>
    <r>
      <rPr>
        <rFont val="Roboto"/>
        <color rgb="FF000000"/>
        <sz val="9.0"/>
      </rPr>
      <t>2018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ULTRAFLEX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GREY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</si>
  <si>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</si>
  <si>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GREY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(EMPAT-WARNA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</si>
  <si>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</si>
  <si>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r>
      <rPr>
        <rFont val="Roboto"/>
        <b/>
        <color rgb="FF000000"/>
        <sz val="9.0"/>
      </rPr>
      <t>---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b/>
        <color rgb="FF000000"/>
        <sz val="9.0"/>
      </rPr>
      <t>BOOTS</t>
    </r>
    <r>
      <rPr>
        <rFont val="Roboto"/>
        <color rgb="FF000000"/>
        <sz val="9.0"/>
      </rPr>
      <t xml:space="preserve">     </t>
    </r>
    <r>
      <rPr>
        <rFont val="Roboto"/>
        <b/>
        <color rgb="FF000000"/>
        <sz val="9.0"/>
      </rPr>
      <t>SAFETY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GROUP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---</t>
    </r>
  </si>
  <si>
    <t>APB-S4-01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</si>
  <si>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S4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YELLOW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</si>
  <si>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</si>
  <si>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KUNING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</si>
  <si>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Steel Toe Cap (200J); EN ISO 20345 S4; Anti-Static; High Visibility. 1</t>
  </si>
  <si>
    <t>[image-terra-safety-s4]</t>
  </si>
  <si>
    <r>
      <rPr>
        <rFont val="Roboto"/>
        <color rgb="FF1155CC"/>
        <sz val="9.0"/>
        <u/>
      </rPr>
      <t>https://shopee.co.id/apbootsofficial</t>
    </r>
  </si>
  <si>
    <t>APB-MG-01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</si>
  <si>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METAGUARD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YELLOW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</si>
  <si>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</si>
  <si>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KUNING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CAP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)</t>
    </r>
  </si>
  <si>
    <t>APB-S5-01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</si>
  <si>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BOOTS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YELLOW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</si>
  <si>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</si>
  <si>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KUNING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MIDSOLE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PLATE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</si>
  <si>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Steel Toe Cap + Midsole Plate; Puncture Resistant (1100N); S5 Standard. 1</t>
  </si>
  <si>
    <t>[image-ap-safety-s5-yl]</t>
  </si>
  <si>
    <r>
      <rPr>
        <rFont val="Roboto"/>
        <color rgb="FF1155CC"/>
        <sz val="9.0"/>
        <u/>
      </rPr>
      <t>https://shopee.co.id/apbootsofficial</t>
    </r>
  </si>
  <si>
    <t>APB-S5-02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</si>
  <si>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BOOTS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</si>
  <si>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</si>
  <si>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MIDSOLE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PLATE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</si>
  <si>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</si>
  <si>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t>APB-S5-03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</si>
  <si>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BOOTS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YELLOW</t>
    </r>
  </si>
  <si>
    <r>
      <rPr>
        <rFont val="Roboto"/>
        <color rgb="FF000000"/>
        <sz val="9.0"/>
      </rPr>
      <t>44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46</t>
    </r>
  </si>
  <si>
    <r>
      <rPr>
        <rFont val="Roboto"/>
        <color rgb="FF000000"/>
        <sz val="9.0"/>
      </rPr>
      <t>KUNING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MIDSOLE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PLATE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</si>
  <si>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</si>
  <si>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t>APB-MX-01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</si>
  <si>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MAX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BLACK/GREY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</si>
  <si>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</si>
  <si>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(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SAFETY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+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TOE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</si>
  <si>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b/>
        <i/>
        <color rgb="FF000000"/>
        <sz val="9.0"/>
      </rPr>
      <t>---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AP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CHEF</t>
    </r>
    <r>
      <rPr>
        <rFont val="Roboto"/>
        <i/>
        <color rgb="FF000000"/>
        <sz val="9.0"/>
      </rPr>
      <t xml:space="preserve">    </t>
    </r>
    <r>
      <rPr>
        <rFont val="Roboto"/>
        <b/>
        <i/>
        <color rgb="FF000000"/>
        <sz val="9.0"/>
      </rPr>
      <t>GROUP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---</t>
    </r>
  </si>
  <si>
    <t>APB-CF-01</t>
  </si>
  <si>
    <r>
      <rPr>
        <rFont val="Roboto"/>
        <i/>
        <color rgb="FF000000"/>
        <sz val="9.0"/>
      </rPr>
      <t>AP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CHEF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BLACK/WHITE</t>
    </r>
  </si>
  <si>
    <r>
      <rPr>
        <rFont val="Roboto"/>
        <i/>
        <color rgb="FF000000"/>
        <sz val="9.0"/>
      </rPr>
      <t>38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-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45</t>
    </r>
  </si>
  <si>
    <r>
      <rPr>
        <rFont val="Roboto"/>
        <i/>
        <color rgb="FF000000"/>
        <sz val="9.0"/>
      </rPr>
      <t>HITAM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PUTIH</t>
    </r>
  </si>
  <si>
    <t>Anti-Slip Superior; Insole Ortholite; Tahan Minyak; Nyaman 12 Jam. 1</t>
  </si>
  <si>
    <t>[image-ap-chef-bw]</t>
  </si>
  <si>
    <r>
      <rPr>
        <rFont val="Roboto"/>
        <color rgb="FF1155CC"/>
        <sz val="9.0"/>
        <u/>
      </rPr>
      <t>https://shopee.co.id/apbootsofficial</t>
    </r>
  </si>
  <si>
    <r>
      <rPr>
        <rFont val="Roboto"/>
        <b/>
        <i/>
        <color rgb="FF000000"/>
        <sz val="9.0"/>
      </rPr>
      <t>---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AP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MEDIC</t>
    </r>
    <r>
      <rPr>
        <rFont val="Roboto"/>
        <i/>
        <color rgb="FF000000"/>
        <sz val="9.0"/>
      </rPr>
      <t xml:space="preserve">    </t>
    </r>
    <r>
      <rPr>
        <rFont val="Roboto"/>
        <b/>
        <i/>
        <color rgb="FF000000"/>
        <sz val="9.0"/>
      </rPr>
      <t>GROUP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---</t>
    </r>
  </si>
  <si>
    <t>APB-MD-01</t>
  </si>
  <si>
    <r>
      <rPr>
        <rFont val="Roboto"/>
        <i/>
        <color rgb="FF000000"/>
        <sz val="9.0"/>
      </rPr>
      <t>AP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MEDIC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BLUE/GREEN/WHITE</t>
    </r>
  </si>
  <si>
    <r>
      <rPr>
        <rFont val="Roboto"/>
        <i/>
        <color rgb="FF000000"/>
        <sz val="9.0"/>
      </rPr>
      <t>36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-</t>
    </r>
    <r>
      <rPr>
        <rFont val="Roboto"/>
        <i/>
        <color rgb="FF000000"/>
        <sz val="9.0"/>
      </rPr>
      <t xml:space="preserve"> </t>
    </r>
    <r>
      <rPr>
        <rFont val="Roboto"/>
        <i/>
        <color rgb="FF000000"/>
        <sz val="9.0"/>
      </rPr>
      <t>45</t>
    </r>
  </si>
  <si>
    <r>
      <rPr>
        <rFont val="Roboto"/>
        <i/>
        <color theme="1"/>
        <sz val="9.0"/>
      </rPr>
      <t>WARNA</t>
    </r>
  </si>
  <si>
    <t>Sterilisasi Autoclave; Material Higienis; Anti-Static; Desain Medis. 1</t>
  </si>
  <si>
    <t>[image-ap-medic-group]</t>
  </si>
  <si>
    <r>
      <rPr>
        <rFont val="Roboto"/>
        <color rgb="FF1155CC"/>
        <sz val="9.0"/>
        <u/>
      </rPr>
      <t>https://shopee.co.id/apbootsofficial</t>
    </r>
  </si>
  <si>
    <r>
      <rPr>
        <rFont val="Roboto"/>
        <b/>
        <i/>
        <color rgb="FF000000"/>
        <sz val="9.0"/>
      </rPr>
      <t>---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AP</t>
    </r>
    <r>
      <rPr>
        <rFont val="Roboto"/>
        <i/>
        <color rgb="FF000000"/>
        <sz val="9.0"/>
      </rPr>
      <t xml:space="preserve"> </t>
    </r>
    <r>
      <rPr>
        <rFont val="Roboto"/>
        <b/>
        <i/>
        <color rgb="FF000000"/>
        <sz val="9.0"/>
      </rPr>
      <t>TERRA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GROUP</t>
    </r>
    <r>
      <rPr>
        <rFont val="Roboto"/>
        <i/>
        <color rgb="FF000000"/>
        <sz val="9.0"/>
      </rPr>
      <t xml:space="preserve">  </t>
    </r>
    <r>
      <rPr>
        <rFont val="Roboto"/>
        <b/>
        <i/>
        <color rgb="FF000000"/>
        <sz val="9.0"/>
      </rPr>
      <t>---</t>
    </r>
  </si>
  <si>
    <t>APB-TC-01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</si>
  <si>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ECO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1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</si>
  <si>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27.0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</si>
  <si>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</si>
  <si>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t>APB-TC-02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</si>
  <si>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ECO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</si>
  <si>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27.0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</si>
  <si>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</si>
  <si>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t>APB-TC-03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</si>
  <si>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ECO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</si>
  <si>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</si>
  <si>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t>Sol Penthel (Mud Cleaning); Ekonomis; Tahan Air &amp; Zat Kimia Ringan. 1</t>
  </si>
  <si>
    <t>[image-terra-eco-3-gr]</t>
  </si>
  <si>
    <r>
      <rPr>
        <rFont val="Roboto"/>
        <color rgb="FF1155CC"/>
        <sz val="9.0"/>
        <u/>
      </rPr>
      <t>https://shopee.co.id/apbootsofficial</t>
    </r>
  </si>
  <si>
    <t>APB-TC-04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</si>
  <si>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ECO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GR/YL/OR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</si>
  <si>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</si>
  <si>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HIJAU/KUNIING/ORANGE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</si>
  <si>
    <r>
      <rPr>
        <rFont val="Roboto"/>
        <color rgb="FF1155CC"/>
        <sz val="9.0"/>
        <u/>
      </rPr>
      <t>https://shopee.co.id/apbootsofficial</t>
    </r>
  </si>
  <si>
    <t>APB-TC-05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</si>
  <si>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ECO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</si>
  <si>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27.0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</si>
  <si>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</si>
  <si>
    <t>APB-TC-06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</si>
  <si>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ECO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WH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</si>
  <si>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27.0</t>
    </r>
  </si>
  <si>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</si>
  <si>
    <t>APB-TG-01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</si>
  <si>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</si>
  <si>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</si>
  <si>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</si>
  <si>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t>APB-TG-02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</si>
  <si>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</si>
  <si>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</si>
  <si>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</t>
    </r>
    <r>
      <rPr>
        <rFont val="Roboto"/>
        <color rgb="FF000000"/>
        <sz val="9.0"/>
      </rPr>
      <t>(SOL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HITAM)</t>
    </r>
  </si>
  <si>
    <t>APB-T5-01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</si>
  <si>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</si>
  <si>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</si>
  <si>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</si>
  <si>
    <t>APB-T3-01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</si>
  <si>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BL/YL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</si>
  <si>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</si>
  <si>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KUNING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</si>
  <si>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APB-T3-02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</si>
  <si>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GR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RED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</si>
  <si>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</si>
  <si>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MERAH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</si>
  <si>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APB-T2-01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</si>
  <si>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GR</t>
    </r>
  </si>
  <si>
    <r>
      <rPr>
        <rFont val="Roboto"/>
        <color rgb="FF000000"/>
        <sz val="9.0"/>
      </rPr>
      <t>25.0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27.0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</si>
  <si>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</si>
  <si>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GR/WH/YL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</si>
  <si>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</si>
  <si>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HIJAU,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PUTIH,</t>
    </r>
    <r>
      <rPr>
        <rFont val="Roboto"/>
        <color rgb="FF000000"/>
        <sz val="9.0"/>
      </rPr>
      <t xml:space="preserve">   </t>
    </r>
    <r>
      <rPr>
        <rFont val="Roboto"/>
        <color rgb="FF000000"/>
        <sz val="9.0"/>
      </rPr>
      <t>KUNING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</si>
  <si>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t>APB-TA-01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</si>
  <si>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ARMY</t>
    </r>
  </si>
  <si>
    <r>
      <rPr>
        <rFont val="Roboto"/>
        <color rgb="FF000000"/>
        <sz val="9.0"/>
      </rPr>
      <t>40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</si>
  <si>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ARMY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</si>
  <si>
    <t>APB-TF-01</t>
  </si>
  <si>
    <r>
      <rPr>
        <rFont val="Roboto"/>
        <color rgb="FF000000"/>
        <sz val="9.0"/>
      </rPr>
      <t>TERRA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FOREST</t>
    </r>
  </si>
  <si>
    <r>
      <rPr>
        <rFont val="Roboto"/>
        <color rgb="FF000000"/>
        <sz val="9.0"/>
      </rPr>
      <t>40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</si>
  <si>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b/>
        <color rgb="FF000000"/>
        <sz val="9.0"/>
      </rPr>
      <t>---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b/>
        <color rgb="FF000000"/>
        <sz val="9.0"/>
      </rPr>
      <t>ORCA</t>
    </r>
    <r>
      <rPr>
        <rFont val="Roboto"/>
        <color rgb="FF000000"/>
        <sz val="9.0"/>
      </rPr>
      <t xml:space="preserve"> </t>
    </r>
    <r>
      <rPr>
        <rFont val="Roboto"/>
        <b/>
        <color rgb="FF000000"/>
        <sz val="9.0"/>
      </rPr>
      <t>GROUP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---</t>
    </r>
  </si>
  <si>
    <t>APB-OR-01</t>
  </si>
  <si>
    <r>
      <rPr>
        <rFont val="Roboto"/>
        <color rgb="FF000000"/>
        <sz val="9.0"/>
      </rPr>
      <t>ORCA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</si>
  <si>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</si>
  <si>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</si>
  <si>
    <t>APB-OR-02</t>
  </si>
  <si>
    <r>
      <rPr>
        <rFont val="Roboto"/>
        <color rgb="FF000000"/>
        <sz val="9.0"/>
      </rPr>
      <t>ORCA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BR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</si>
  <si>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</si>
  <si>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COKLAT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PANJANG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SOL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PENTHEL</t>
    </r>
  </si>
  <si>
    <r>
      <rPr>
        <rFont val="Roboto"/>
        <b/>
        <color rgb="FF000000"/>
        <sz val="9.0"/>
      </rPr>
      <t>---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b/>
        <color rgb="FF000000"/>
        <sz val="9.0"/>
      </rPr>
      <t>BOOTS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BOLA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GROUP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---</t>
    </r>
  </si>
  <si>
    <t>APB-B1-01</t>
  </si>
  <si>
    <r>
      <rPr>
        <rFont val="Roboto"/>
        <color rgb="FF000000"/>
        <sz val="9.0"/>
      </rPr>
      <t>961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967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</si>
  <si>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</si>
  <si>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BOLA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(BESAR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</si>
  <si>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80 x 60 x 55</t>
  </si>
  <si>
    <t>22.0 - 28.0</t>
  </si>
  <si>
    <t>Sepatu Capung; Sangat Ringan; Fleksibel; Multifungsi Tani/Olahraga. 1</t>
  </si>
  <si>
    <t>[image-ap-bola-961]</t>
  </si>
  <si>
    <r>
      <rPr>
        <rFont val="Roboto"/>
        <color rgb="FF1155CC"/>
        <sz val="9.0"/>
        <u/>
      </rPr>
      <t>https://shopee.co.id/apbootsofficial</t>
    </r>
  </si>
  <si>
    <t>APB-B3-01</t>
  </si>
  <si>
    <r>
      <rPr>
        <rFont val="Roboto"/>
        <color rgb="FF000000"/>
        <sz val="9.0"/>
      </rPr>
      <t>963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</si>
  <si>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36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</si>
  <si>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BOLA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      </t>
    </r>
    <r>
      <rPr>
        <rFont val="Roboto"/>
        <color rgb="FF000000"/>
        <sz val="9.0"/>
      </rPr>
      <t>(TANGGUNG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</si>
  <si>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APB-B3-02</t>
  </si>
  <si>
    <r>
      <rPr>
        <rFont val="Roboto"/>
        <color rgb="FF000000"/>
        <sz val="9.0"/>
      </rPr>
      <t>963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965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WH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</si>
  <si>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</si>
  <si>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BOLA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        </t>
    </r>
    <r>
      <rPr>
        <rFont val="Roboto"/>
        <color rgb="FF000000"/>
        <sz val="9.0"/>
      </rPr>
      <t>(BESAR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</si>
  <si>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</si>
  <si>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t>APB-B3-03</t>
  </si>
  <si>
    <r>
      <rPr>
        <rFont val="Roboto"/>
        <color rgb="FF000000"/>
        <sz val="9.0"/>
      </rPr>
      <t>963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WH</t>
    </r>
  </si>
  <si>
    <r>
      <rPr>
        <rFont val="Roboto"/>
        <color rgb="FF000000"/>
        <sz val="9.0"/>
      </rPr>
      <t>35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36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</si>
  <si>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BOLA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        </t>
    </r>
    <r>
      <rPr>
        <rFont val="Roboto"/>
        <color rgb="FF000000"/>
        <sz val="9.0"/>
      </rPr>
      <t>(TANGGUNG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</si>
  <si>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APB-B3-04</t>
  </si>
  <si>
    <r>
      <rPr>
        <rFont val="Roboto"/>
        <color rgb="FF000000"/>
        <sz val="9.0"/>
      </rPr>
      <t>963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CR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</si>
  <si>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</si>
  <si>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BOLA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CREAM</t>
    </r>
    <r>
      <rPr>
        <rFont val="Roboto"/>
        <color rgb="FF000000"/>
        <sz val="9.0"/>
      </rPr>
      <t xml:space="preserve">         </t>
    </r>
    <r>
      <rPr>
        <rFont val="Roboto"/>
        <color rgb="FF000000"/>
        <sz val="9.0"/>
      </rPr>
      <t>(BESAR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</si>
  <si>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</si>
  <si>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t>APB-B6-01</t>
  </si>
  <si>
    <r>
      <rPr>
        <rFont val="Roboto"/>
        <color rgb="FF000000"/>
        <sz val="9.0"/>
      </rPr>
      <t>969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WH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</si>
  <si>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</si>
  <si>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BOLA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   </t>
    </r>
    <r>
      <rPr>
        <rFont val="Roboto"/>
        <color rgb="FF000000"/>
        <sz val="9.0"/>
      </rPr>
      <t>2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WARNA</t>
    </r>
    <r>
      <rPr>
        <rFont val="Roboto"/>
        <color rgb="FF000000"/>
        <sz val="9.0"/>
      </rPr>
      <t xml:space="preserve">     </t>
    </r>
    <r>
      <rPr>
        <rFont val="Roboto"/>
        <color rgb="FF000000"/>
        <sz val="9.0"/>
      </rPr>
      <t>(BESAR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</si>
  <si>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</si>
  <si>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t>APB-B6-02</t>
  </si>
  <si>
    <r>
      <rPr>
        <rFont val="Roboto"/>
        <color rgb="FF000000"/>
        <sz val="9.0"/>
      </rPr>
      <t>969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</si>
  <si>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43</t>
    </r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</si>
  <si>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BOLA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2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WARNA</t>
    </r>
    <r>
      <rPr>
        <rFont val="Roboto"/>
        <color rgb="FF000000"/>
        <sz val="9.0"/>
      </rPr>
      <t xml:space="preserve">     </t>
    </r>
    <r>
      <rPr>
        <rFont val="Roboto"/>
        <color rgb="FF000000"/>
        <sz val="9.0"/>
      </rPr>
      <t>(BESAR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</si>
  <si>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</si>
  <si>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r>
      <rPr>
        <rFont val="Roboto"/>
        <b/>
        <color rgb="FF000000"/>
        <sz val="9.0"/>
      </rPr>
      <t>---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b/>
        <color rgb="FF000000"/>
        <sz val="9.0"/>
      </rPr>
      <t>BOOTS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VANTOPEL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GROUP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---</t>
    </r>
  </si>
  <si>
    <t>APB-VT-01</t>
  </si>
  <si>
    <r>
      <rPr>
        <rFont val="Roboto"/>
        <color rgb="FF000000"/>
        <sz val="9.0"/>
      </rPr>
      <t>985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</si>
  <si>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</si>
  <si>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SLOP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HITAM</t>
    </r>
  </si>
  <si>
    <t>APB-VT-02</t>
  </si>
  <si>
    <r>
      <rPr>
        <rFont val="Roboto"/>
        <color rgb="FF000000"/>
        <sz val="9.0"/>
      </rPr>
      <t>987/989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/991/995/997/1001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</si>
  <si>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41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</si>
  <si>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SANDAL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</si>
  <si>
    <t>APB-VT-03</t>
  </si>
  <si>
    <r>
      <rPr>
        <rFont val="Roboto"/>
        <color rgb="FF000000"/>
        <sz val="9.0"/>
      </rPr>
      <t>999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</si>
  <si>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41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</si>
  <si>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SANDAL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</si>
  <si>
    <t>APB-VT-04</t>
  </si>
  <si>
    <r>
      <rPr>
        <rFont val="Roboto"/>
        <color rgb="FF000000"/>
        <sz val="9.0"/>
      </rPr>
      <t>977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</si>
  <si>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</si>
  <si>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KANTOR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</si>
  <si>
    <t>APB-VT-05</t>
  </si>
  <si>
    <r>
      <rPr>
        <rFont val="Roboto"/>
        <color rgb="FF000000"/>
        <sz val="9.0"/>
      </rPr>
      <t>1003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</si>
  <si>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41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</si>
  <si>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KANTOR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</si>
  <si>
    <t>APB-ST-01</t>
  </si>
  <si>
    <t>AP STAR BLACK/WHITE 38-42</t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</si>
  <si>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</si>
  <si>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SEKOLAH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(SOLE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</si>
  <si>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Desain Casual/Sekolah; Material Karet; Awet; Mudah Dibersihkan. 1</t>
  </si>
  <si>
    <t>[image-ap-star-black]</t>
  </si>
  <si>
    <r>
      <rPr>
        <rFont val="Roboto"/>
        <color rgb="FF1155CC"/>
        <sz val="9.0"/>
        <u/>
      </rPr>
      <t>https://shopee.co.id/apbootsofficial</t>
    </r>
  </si>
  <si>
    <t>APB-ST-02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</si>
  <si>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STAR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BLACK/CAMEL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38-42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</si>
  <si>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</si>
  <si>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SEKOLAH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(SOLE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COMEL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</si>
  <si>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</si>
  <si>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t>APB-ST-03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</si>
  <si>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STAR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NAVY/WHITE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38-42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</si>
  <si>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</si>
  <si>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SEKOLAH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NAVY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(SOLE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PUTIH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</si>
  <si>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r>
      <rPr>
        <rFont val="Roboto"/>
        <color rgb="FF1155CC"/>
        <sz val="9.0"/>
        <u/>
      </rPr>
      <t>https://shopee.co.id/apbootsofficial</t>
    </r>
  </si>
  <si>
    <t>APB-ST-04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</si>
  <si>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STAR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BLACK/BLACK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38-42</t>
    </r>
  </si>
  <si>
    <r>
      <rPr>
        <rFont val="Roboto"/>
        <color rgb="FF000000"/>
        <sz val="9.0"/>
      </rPr>
      <t>38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</si>
  <si>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SEKOLAH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</si>
  <si>
    <r>
      <rPr>
        <rFont val="Roboto"/>
        <color rgb="FF1155CC"/>
        <sz val="9.0"/>
        <u/>
      </rPr>
      <t>https://shopee.co.id/apbootsofficial</t>
    </r>
  </si>
  <si>
    <t>APB-WK-01</t>
  </si>
  <si>
    <r>
      <rPr>
        <rFont val="Roboto"/>
        <color rgb="FF000000"/>
        <sz val="9.0"/>
      </rPr>
      <t>HOBBY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&amp;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WORK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BLACK/RED</t>
    </r>
  </si>
  <si>
    <r>
      <rPr>
        <rFont val="Roboto"/>
        <color rgb="FF000000"/>
        <sz val="9.0"/>
      </rPr>
      <t>39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42</t>
    </r>
  </si>
  <si>
    <r>
      <rPr>
        <rFont val="Roboto"/>
        <color rgb="FF000000"/>
        <sz val="9.0"/>
      </rPr>
      <t>VAN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SEPATU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KANTOR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HITAM</t>
    </r>
    <r>
      <rPr>
        <rFont val="Roboto"/>
        <color rgb="FF000000"/>
        <sz val="9.0"/>
      </rPr>
      <t xml:space="preserve">  </t>
    </r>
    <r>
      <rPr>
        <rFont val="Roboto"/>
        <color rgb="FF000000"/>
        <sz val="9.0"/>
      </rPr>
      <t>(SOLE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MERAH)</t>
    </r>
  </si>
  <si>
    <r>
      <rPr>
        <rFont val="Roboto"/>
        <b/>
        <color rgb="FF000000"/>
        <sz val="9.0"/>
      </rPr>
      <t>---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b/>
        <color rgb="FF000000"/>
        <sz val="9.0"/>
      </rPr>
      <t>BOOTS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ANAK</t>
    </r>
    <r>
      <rPr>
        <rFont val="Roboto"/>
        <color rgb="FF000000"/>
        <sz val="9.0"/>
      </rPr>
      <t xml:space="preserve">    </t>
    </r>
    <r>
      <rPr>
        <rFont val="Roboto"/>
        <b/>
        <color rgb="FF000000"/>
        <sz val="9.0"/>
      </rPr>
      <t>GROUP</t>
    </r>
    <r>
      <rPr>
        <rFont val="Roboto"/>
        <color rgb="FF000000"/>
        <sz val="9.0"/>
      </rPr>
      <t xml:space="preserve">  </t>
    </r>
    <r>
      <rPr>
        <rFont val="Roboto"/>
        <b/>
        <color rgb="FF000000"/>
        <sz val="9.0"/>
      </rPr>
      <t>---</t>
    </r>
  </si>
  <si>
    <t>APB-KD-01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</si>
  <si>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KIDS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MULTI</t>
    </r>
  </si>
  <si>
    <r>
      <rPr>
        <rFont val="Roboto"/>
        <color rgb="FF000000"/>
        <sz val="9.0"/>
      </rPr>
      <t>22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28</t>
    </r>
  </si>
  <si>
    <r>
      <rPr>
        <rFont val="Roboto"/>
        <color rgb="FF000000"/>
        <sz val="9.0"/>
      </rPr>
      <t>ANAK-ANAK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KECIL</t>
    </r>
    <r>
      <rPr>
        <rFont val="Roboto"/>
        <color rgb="FF000000"/>
        <sz val="9.0"/>
      </rPr>
      <t xml:space="preserve">      </t>
    </r>
    <r>
      <rPr>
        <rFont val="Roboto"/>
        <color rgb="FF000000"/>
        <sz val="9.0"/>
      </rPr>
      <t>(MULTI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)</t>
    </r>
  </si>
  <si>
    <t>Motif Karakter/Binatang; Warna Cerah; Aman Untuk Kulit Anak. 1</t>
  </si>
  <si>
    <t>[image-ap-kids-multi]</t>
  </si>
  <si>
    <r>
      <rPr>
        <rFont val="Roboto"/>
        <color rgb="FF1155CC"/>
        <sz val="9.0"/>
        <u/>
      </rPr>
      <t>https://shopee.co.id/apbootsofficial</t>
    </r>
  </si>
  <si>
    <t>APB-KD-02</t>
  </si>
  <si>
    <r>
      <rPr>
        <rFont val="Roboto"/>
        <color rgb="FF000000"/>
        <sz val="9.0"/>
      </rPr>
      <t>9307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</t>
    </r>
  </si>
  <si>
    <r>
      <rPr>
        <rFont val="Roboto"/>
        <color rgb="FF000000"/>
        <sz val="9.0"/>
      </rPr>
      <t>15.0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20.0</t>
    </r>
  </si>
  <si>
    <r>
      <rPr>
        <rFont val="Roboto"/>
        <color rgb="FF000000"/>
        <sz val="9.0"/>
      </rPr>
      <t>ANAK-ANAK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KECIL</t>
    </r>
  </si>
  <si>
    <r>
      <rPr>
        <rFont val="Roboto"/>
        <color rgb="FF1155CC"/>
        <sz val="9.0"/>
        <u/>
      </rPr>
      <t>https://shopee.co.id/apbootsofficial</t>
    </r>
  </si>
  <si>
    <t>APB-KD-03</t>
  </si>
  <si>
    <r>
      <rPr>
        <rFont val="Roboto"/>
        <color theme="1"/>
        <sz val="9.0"/>
      </rPr>
      <t>GRANDPRIX</t>
    </r>
  </si>
  <si>
    <r>
      <rPr>
        <rFont val="Roboto"/>
        <color rgb="FF000000"/>
        <sz val="9.0"/>
      </rPr>
      <t>17.0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19.0</t>
    </r>
  </si>
  <si>
    <r>
      <rPr>
        <rFont val="Roboto"/>
        <color rgb="FF000000"/>
        <sz val="9.0"/>
      </rPr>
      <t>ANAK-ANAK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KECIL</t>
    </r>
  </si>
  <si>
    <r>
      <rPr>
        <rFont val="Roboto"/>
        <color rgb="FF1155CC"/>
        <sz val="9.0"/>
        <u/>
      </rPr>
      <t>https://shopee.co.id/apbootsofficial</t>
    </r>
  </si>
  <si>
    <t>APB-KD-04</t>
  </si>
  <si>
    <r>
      <rPr>
        <rFont val="Roboto"/>
        <color rgb="FF000000"/>
        <sz val="9.0"/>
      </rPr>
      <t>9309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</t>
    </r>
  </si>
  <si>
    <r>
      <rPr>
        <rFont val="Roboto"/>
        <color rgb="FF000000"/>
        <sz val="9.0"/>
      </rPr>
      <t>19.0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21.0</t>
    </r>
  </si>
  <si>
    <r>
      <rPr>
        <rFont val="Roboto"/>
        <color rgb="FF000000"/>
        <sz val="9.0"/>
      </rPr>
      <t>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ANAK-ANAK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BESAR</t>
    </r>
  </si>
  <si>
    <r>
      <rPr>
        <rFont val="Roboto"/>
        <color rgb="FF1155CC"/>
        <sz val="9.0"/>
        <u/>
      </rPr>
      <t>https://shopee.co.id/apbootsofficial</t>
    </r>
  </si>
  <si>
    <t>APB-KD-05</t>
  </si>
  <si>
    <r>
      <rPr>
        <rFont val="Roboto"/>
        <color rgb="FF000000"/>
        <sz val="9.0"/>
      </rPr>
      <t>2001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W</t>
    </r>
  </si>
  <si>
    <r>
      <rPr>
        <rFont val="Roboto"/>
        <color rgb="FF000000"/>
        <sz val="9.0"/>
      </rPr>
      <t>22.0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24.0</t>
    </r>
  </si>
  <si>
    <r>
      <rPr>
        <rFont val="Roboto"/>
        <color rgb="FF000000"/>
        <sz val="9.0"/>
      </rPr>
      <t>WARNA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TANGGUNG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</si>
  <si>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r>
      <rPr>
        <rFont val="Roboto"/>
        <color rgb="FF1155CC"/>
        <sz val="9.0"/>
        <u/>
      </rPr>
      <t>https://shopee.co.id/apbootsofficial</t>
    </r>
  </si>
  <si>
    <t>APB-KD-06</t>
  </si>
  <si>
    <r>
      <rPr>
        <rFont val="Roboto"/>
        <color rgb="FF000000"/>
        <sz val="9.0"/>
      </rPr>
      <t>2001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GR</t>
    </r>
  </si>
  <si>
    <r>
      <rPr>
        <rFont val="Roboto"/>
        <color rgb="FF000000"/>
        <sz val="9.0"/>
      </rPr>
      <t>22.0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24.0</t>
    </r>
  </si>
  <si>
    <r>
      <rPr>
        <rFont val="Roboto"/>
        <color rgb="FF000000"/>
        <sz val="9.0"/>
      </rPr>
      <t>HIJAU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TANGGUNG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</si>
  <si>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r>
      <rPr>
        <rFont val="Roboto"/>
        <color rgb="FF1155CC"/>
        <sz val="9.0"/>
        <u/>
      </rPr>
      <t>https://shopee.co.id/apbootsofficial</t>
    </r>
  </si>
  <si>
    <t>APB-KD-07</t>
  </si>
  <si>
    <r>
      <rPr>
        <rFont val="Roboto"/>
        <color rgb="FF000000"/>
        <sz val="9.0"/>
      </rPr>
      <t>2001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ROOT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N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LEAVES</t>
    </r>
  </si>
  <si>
    <r>
      <rPr>
        <rFont val="Roboto"/>
        <color rgb="FF000000"/>
        <sz val="9.0"/>
      </rPr>
      <t>22.0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24.0</t>
    </r>
  </si>
  <si>
    <r>
      <rPr>
        <rFont val="Roboto"/>
        <color rgb="FF000000"/>
        <sz val="9.0"/>
      </rPr>
      <t>ROOT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N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LEAVES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TANGGUNG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PENDEK</t>
    </r>
  </si>
  <si>
    <r>
      <rPr>
        <rFont val="Roboto"/>
        <color rgb="FF1155CC"/>
        <sz val="9.0"/>
        <u/>
      </rPr>
      <t>https://shopee.co.id/apbootsofficial</t>
    </r>
  </si>
  <si>
    <t>APB-KD-08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</si>
  <si>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SAFARI</t>
    </r>
  </si>
  <si>
    <r>
      <rPr>
        <rFont val="Roboto"/>
        <color rgb="FF000000"/>
        <sz val="9.0"/>
      </rPr>
      <t>22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28</t>
    </r>
  </si>
  <si>
    <r>
      <rPr>
        <rFont val="Roboto"/>
        <color rgb="FF000000"/>
        <sz val="9.0"/>
      </rPr>
      <t>PATTERN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BINATANG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UNTUK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ANAK-ANAK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KECIL</t>
    </r>
  </si>
  <si>
    <r>
      <rPr>
        <rFont val="Roboto"/>
        <color rgb="FF1155CC"/>
        <sz val="9.0"/>
        <u/>
      </rPr>
      <t>https://shopee.co.id/apbootsofficial</t>
    </r>
  </si>
  <si>
    <t>APB-KD-09</t>
  </si>
  <si>
    <r>
      <rPr>
        <rFont val="Roboto"/>
        <color rgb="FF000000"/>
        <sz val="9.0"/>
      </rPr>
      <t>AP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JASMINE</t>
    </r>
  </si>
  <si>
    <r>
      <rPr>
        <rFont val="Roboto"/>
        <color rgb="FF000000"/>
        <sz val="9.0"/>
      </rPr>
      <t>22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-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28</t>
    </r>
  </si>
  <si>
    <r>
      <rPr>
        <rFont val="Roboto"/>
        <color rgb="FF000000"/>
        <sz val="9.0"/>
      </rPr>
      <t>PATTERN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BONEKA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UNTUK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ANAK-ANAK</t>
    </r>
    <r>
      <rPr>
        <rFont val="Roboto"/>
        <color rgb="FF000000"/>
        <sz val="9.0"/>
      </rPr>
      <t xml:space="preserve"> </t>
    </r>
    <r>
      <rPr>
        <rFont val="Roboto"/>
        <color rgb="FF000000"/>
        <sz val="9.0"/>
      </rPr>
      <t>KECIL</t>
    </r>
  </si>
  <si>
    <r>
      <rPr>
        <rFont val="Roboto"/>
        <color rgb="FF1155CC"/>
        <sz val="9.0"/>
        <u/>
      </rPr>
      <t>https://shopee.co.id/apbootsofficial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</si>
</sst>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(#,##0)"/>
    <numFmt numFmtId="165" formatCode="[$Rp-421]#,##0"/>
    <numFmt numFmtId="166" formatCode="dd mmmm yyyy"/>
    <numFmt numFmtId="167" formatCode="[$$]#,##0.00"/>
  </numFmts>
  <fonts count="38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theme="1"/>
      <name val="Roboto"/>
    </font>
    <font>
      <b/>
      <sz val="14.0"/>
      <color rgb="FF000000"/>
      <name val="Roboto"/>
    </font>
    <font>
      <sz val="14.0"/>
      <color theme="1"/>
      <name val="Arial"/>
    </font>
    <font>
      <sz val="12.0"/>
      <color theme="1"/>
      <name val="Arial"/>
    </font>
    <font/>
    <font>
      <sz val="14.0"/>
      <color rgb="FF000000"/>
      <name val="Arial"/>
    </font>
    <font>
      <sz val="14.0"/>
      <color theme="1"/>
      <name val="Arial"/>
      <scheme val="minor"/>
    </font>
    <font>
      <b/>
      <sz val="12.0"/>
      <color rgb="FFC7C7C7"/>
      <name val="&quot;Times New Roman&quot;"/>
    </font>
    <font>
      <sz val="12.0"/>
      <color rgb="FFC7C7C7"/>
      <name val="&quot;Times New Roman&quot;"/>
    </font>
    <font>
      <b/>
      <sz val="11.0"/>
      <color rgb="FFC7C7C7"/>
      <name val="&quot;Google Sans Text&quot;"/>
    </font>
    <font>
      <sz val="11.0"/>
      <color rgb="FFC7C7C7"/>
      <name val="&quot;Google Sans Text&quot;"/>
    </font>
    <font>
      <i/>
      <sz val="11.0"/>
      <color rgb="FFC7C7C7"/>
      <name val="&quot;Google Sans Text&quot;"/>
    </font>
    <font>
      <sz val="14.0"/>
      <color rgb="FFFFFFFF"/>
      <name val="Arial"/>
    </font>
    <font>
      <b/>
      <sz val="9.0"/>
      <color rgb="FF000000"/>
      <name val="Roboto"/>
    </font>
    <font>
      <b/>
      <sz val="9.0"/>
      <color theme="1"/>
      <name val="Roboto"/>
    </font>
    <font>
      <sz val="9.0"/>
      <color theme="1"/>
      <name val="Roboto"/>
    </font>
    <font>
      <sz val="9.0"/>
      <color rgb="FF000000"/>
      <name val="Roboto"/>
    </font>
    <font>
      <color theme="1"/>
      <name val="Arial"/>
    </font>
    <font>
      <sz val="9.0"/>
      <color rgb="FF1F1F1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i/>
      <sz val="9.0"/>
      <color rgb="FF000000"/>
      <name val="Roboto"/>
    </font>
    <font>
      <b/>
      <i/>
      <sz val="9.0"/>
      <color rgb="FF000000"/>
      <name val="Roboto"/>
    </font>
    <font>
      <u/>
      <sz val="9.0"/>
      <color rgb="FF0000FF"/>
      <name val="Roboto"/>
    </font>
    <font>
      <i/>
      <sz val="9.0"/>
      <color theme="1"/>
      <name val="Roboto"/>
    </font>
    <font>
      <sz val="12.0"/>
      <color theme="1"/>
      <name val="Roboto"/>
    </font>
    <font>
      <u/>
      <sz val="9.0"/>
      <color rgb="FF0000FF"/>
      <name val="Roboto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color rgb="FF0000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22262B"/>
        <bgColor rgb="FF22262B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5E5E5E"/>
      </bottom>
    </border>
    <border>
      <bottom style="thin">
        <color rgb="FF37383B"/>
      </bottom>
    </border>
    <border>
      <bottom style="thin">
        <color rgb="FF5E5E5E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4" fontId="1" numFmtId="164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0" fontId="2" numFmtId="3" xfId="0" applyAlignment="1" applyBorder="1" applyFont="1" applyNumberFormat="1">
      <alignment horizontal="left" readingOrder="0" shrinkToFit="0" vertical="center" wrapText="1"/>
    </xf>
    <xf borderId="1" fillId="6" fontId="3" numFmtId="0" xfId="0" applyAlignment="1" applyBorder="1" applyFill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vertical="top"/>
    </xf>
    <xf borderId="0" fillId="0" fontId="5" numFmtId="0" xfId="0" applyAlignment="1" applyFont="1">
      <alignment horizontal="left" vertical="top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1" fillId="4" fontId="1" numFmtId="9" xfId="0" applyAlignment="1" applyBorder="1" applyFont="1" applyNumberFormat="1">
      <alignment horizontal="left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1" numFmtId="166" xfId="0" applyAlignment="1" applyBorder="1" applyFont="1" applyNumberFormat="1">
      <alignment horizontal="left" readingOrder="0" vertical="top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right" readingOrder="0" shrinkToFit="0" vertical="center" wrapText="1"/>
    </xf>
    <xf borderId="1" fillId="3" fontId="7" numFmtId="0" xfId="0" applyAlignment="1" applyBorder="1" applyFont="1">
      <alignment horizontal="right" readingOrder="0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4" fontId="4" numFmtId="9" xfId="0" applyAlignment="1" applyBorder="1" applyFont="1" applyNumberFormat="1">
      <alignment horizontal="center" readingOrder="0" shrinkToFit="0" vertical="center" wrapText="1"/>
    </xf>
    <xf borderId="1" fillId="4" fontId="4" numFmtId="164" xfId="0" applyAlignment="1" applyBorder="1" applyFont="1" applyNumberFormat="1">
      <alignment horizontal="center" shrinkToFit="0" vertical="center" wrapText="1"/>
    </xf>
    <xf borderId="1" fillId="0" fontId="4" numFmtId="167" xfId="0" applyAlignment="1" applyBorder="1" applyFont="1" applyNumberFormat="1">
      <alignment horizontal="left" shrinkToFit="0" vertical="center" wrapText="0"/>
    </xf>
    <xf borderId="0" fillId="0" fontId="4" numFmtId="0" xfId="0" applyAlignment="1" applyFont="1">
      <alignment horizontal="left" vertical="top"/>
    </xf>
    <xf borderId="1" fillId="7" fontId="4" numFmtId="165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left" readingOrder="0" vertical="top"/>
    </xf>
    <xf borderId="3" fillId="8" fontId="6" numFmtId="0" xfId="0" applyAlignment="1" applyBorder="1" applyFill="1" applyFont="1">
      <alignment horizontal="left" vertical="top"/>
    </xf>
    <xf borderId="1" fillId="0" fontId="7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4" fontId="4" numFmtId="0" xfId="0" applyAlignment="1" applyFont="1">
      <alignment horizontal="left" shrinkToFit="0" vertical="center" wrapText="1"/>
    </xf>
    <xf borderId="0" fillId="3" fontId="4" numFmtId="164" xfId="0" applyAlignment="1" applyFont="1" applyNumberFormat="1">
      <alignment horizontal="center" shrinkToFit="0" vertical="center" wrapText="1"/>
    </xf>
    <xf borderId="0" fillId="4" fontId="4" numFmtId="164" xfId="0" applyAlignment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5" fillId="9" fontId="9" numFmtId="0" xfId="0" applyAlignment="1" applyBorder="1" applyFill="1" applyFont="1">
      <alignment horizontal="left" readingOrder="0" vertical="bottom"/>
    </xf>
    <xf borderId="6" fillId="9" fontId="10" numFmtId="0" xfId="0" applyAlignment="1" applyBorder="1" applyFont="1">
      <alignment horizontal="left" readingOrder="0" vertical="top"/>
    </xf>
    <xf borderId="7" fillId="9" fontId="11" numFmtId="0" xfId="0" applyAlignment="1" applyBorder="1" applyFont="1">
      <alignment horizontal="left" readingOrder="0" vertical="top"/>
    </xf>
    <xf borderId="6" fillId="9" fontId="11" numFmtId="0" xfId="0" applyAlignment="1" applyBorder="1" applyFont="1">
      <alignment horizontal="left" readingOrder="0" vertical="top"/>
    </xf>
    <xf borderId="6" fillId="9" fontId="12" numFmtId="0" xfId="0" applyAlignment="1" applyBorder="1" applyFont="1">
      <alignment horizontal="left" readingOrder="0" vertical="top"/>
    </xf>
    <xf borderId="6" fillId="9" fontId="13" numFmtId="0" xfId="0" applyAlignment="1" applyBorder="1" applyFont="1">
      <alignment horizontal="left" readingOrder="0" vertical="top"/>
    </xf>
    <xf borderId="1" fillId="8" fontId="14" numFmtId="164" xfId="0" applyAlignment="1" applyBorder="1" applyFont="1" applyNumberFormat="1">
      <alignment horizontal="center" readingOrder="0" shrinkToFit="0" vertical="center" wrapText="1"/>
    </xf>
    <xf borderId="1" fillId="8" fontId="14" numFmtId="0" xfId="0" applyAlignment="1" applyBorder="1" applyFont="1">
      <alignment horizontal="left" readingOrder="0" shrinkToFit="0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0" fillId="8" fontId="15" numFmtId="0" xfId="0" applyAlignment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horizontal="center" readingOrder="0" shrinkToFit="0" vertical="center" wrapText="1"/>
    </xf>
    <xf borderId="0" fillId="10" fontId="15" numFmtId="0" xfId="0" applyAlignment="1" applyFill="1" applyFont="1">
      <alignment horizontal="center" shrinkToFit="0" vertical="center" wrapText="1"/>
    </xf>
    <xf borderId="0" fillId="4" fontId="16" numFmtId="0" xfId="0" applyAlignment="1" applyFont="1">
      <alignment horizontal="center" shrinkToFit="0" vertical="top" wrapText="1"/>
    </xf>
    <xf borderId="0" fillId="0" fontId="16" numFmtId="4" xfId="0" applyAlignment="1" applyFont="1" applyNumberFormat="1">
      <alignment horizontal="center" readingOrder="0" vertical="center"/>
    </xf>
    <xf borderId="0" fillId="5" fontId="16" numFmtId="0" xfId="0" applyAlignment="1" applyFont="1">
      <alignment horizontal="center" readingOrder="0" vertical="center"/>
    </xf>
    <xf borderId="0" fillId="0" fontId="16" numFmtId="3" xfId="0" applyAlignment="1" applyFont="1" applyNumberFormat="1">
      <alignment horizontal="left" readingOrder="0" vertical="center"/>
    </xf>
    <xf borderId="0" fillId="6" fontId="15" numFmtId="0" xfId="0" applyAlignment="1" applyFont="1">
      <alignment horizontal="left" readingOrder="0" vertical="top"/>
    </xf>
    <xf borderId="0" fillId="3" fontId="15" numFmtId="0" xfId="0" applyAlignment="1" applyFont="1">
      <alignment horizontal="left" readingOrder="0" vertical="top"/>
    </xf>
    <xf borderId="0" fillId="3" fontId="15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vertical="top"/>
    </xf>
    <xf borderId="0" fillId="11" fontId="17" numFmtId="0" xfId="0" applyAlignment="1" applyFill="1" applyFont="1">
      <alignment horizontal="left" readingOrder="0" vertical="top"/>
    </xf>
    <xf borderId="0" fillId="0" fontId="16" numFmtId="10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4" fontId="15" numFmtId="9" xfId="0" applyAlignment="1" applyFont="1" applyNumberFormat="1">
      <alignment horizontal="center" readingOrder="0" shrinkToFit="0" vertical="center" wrapText="1"/>
    </xf>
    <xf borderId="0" fillId="10" fontId="15" numFmtId="9" xfId="0" applyAlignment="1" applyFont="1" applyNumberFormat="1">
      <alignment horizontal="center" shrinkToFit="0" vertical="center" wrapText="1"/>
    </xf>
    <xf borderId="0" fillId="4" fontId="16" numFmtId="9" xfId="0" applyAlignment="1" applyFont="1" applyNumberFormat="1">
      <alignment horizontal="center" shrinkToFit="0" vertical="top" wrapText="1"/>
    </xf>
    <xf borderId="2" fillId="0" fontId="18" numFmtId="0" xfId="0" applyAlignment="1" applyBorder="1" applyFont="1">
      <alignment horizontal="center" shrinkToFit="0" vertical="top" wrapText="1"/>
    </xf>
    <xf borderId="0" fillId="4" fontId="18" numFmtId="0" xfId="0" applyAlignment="1" applyFont="1">
      <alignment horizontal="center" readingOrder="0" shrinkToFit="0" vertical="top" wrapText="1"/>
    </xf>
    <xf borderId="0" fillId="10" fontId="18" numFmtId="0" xfId="0" applyAlignment="1" applyFont="1">
      <alignment horizontal="center" shrinkToFit="0" vertical="top" wrapText="1"/>
    </xf>
    <xf borderId="0" fillId="4" fontId="19" numFmtId="0" xfId="0" applyAlignment="1" applyFont="1">
      <alignment horizontal="left" vertical="top"/>
    </xf>
    <xf borderId="0" fillId="0" fontId="17" numFmtId="4" xfId="0" applyAlignment="1" applyFont="1" applyNumberFormat="1">
      <alignment horizontal="right" vertical="top"/>
    </xf>
    <xf borderId="0" fillId="5" fontId="17" numFmtId="0" xfId="0" applyAlignment="1" applyFont="1">
      <alignment horizontal="left" vertical="top"/>
    </xf>
    <xf borderId="0" fillId="0" fontId="17" numFmtId="3" xfId="0" applyAlignment="1" applyFont="1" applyNumberFormat="1">
      <alignment horizontal="left" vertical="top"/>
    </xf>
    <xf borderId="0" fillId="6" fontId="15" numFmtId="0" xfId="0" applyAlignment="1" applyFont="1">
      <alignment horizontal="center" readingOrder="0" vertical="top"/>
    </xf>
    <xf borderId="0" fillId="3" fontId="15" numFmtId="0" xfId="0" applyAlignment="1" applyFont="1">
      <alignment horizontal="center" readingOrder="0" vertical="top"/>
    </xf>
    <xf borderId="0" fillId="0" fontId="17" numFmtId="0" xfId="0" applyAlignment="1" applyFont="1">
      <alignment horizontal="left" vertical="top"/>
    </xf>
    <xf borderId="0" fillId="11" fontId="17" numFmtId="0" xfId="0" applyAlignment="1" applyFont="1">
      <alignment horizontal="left" vertical="top"/>
    </xf>
    <xf borderId="1" fillId="11" fontId="18" numFmtId="1" xfId="0" applyAlignment="1" applyBorder="1" applyFont="1" applyNumberFormat="1">
      <alignment horizontal="center" readingOrder="0" shrinkToFit="1" vertical="top" wrapText="0"/>
    </xf>
    <xf borderId="1" fillId="11" fontId="18" numFmtId="0" xfId="0" applyAlignment="1" applyBorder="1" applyFont="1">
      <alignment horizontal="left" shrinkToFit="0" vertical="top" wrapText="1"/>
    </xf>
    <xf borderId="1" fillId="11" fontId="18" numFmtId="0" xfId="0" applyAlignment="1" applyBorder="1" applyFont="1">
      <alignment horizontal="center" shrinkToFit="0" vertical="top" wrapText="1"/>
    </xf>
    <xf borderId="1" fillId="11" fontId="18" numFmtId="0" xfId="0" applyAlignment="1" applyBorder="1" applyFont="1">
      <alignment horizontal="center" readingOrder="0" shrinkToFit="0" vertical="top" wrapText="1"/>
    </xf>
    <xf borderId="1" fillId="11" fontId="18" numFmtId="3" xfId="0" applyAlignment="1" applyBorder="1" applyFont="1" applyNumberFormat="1">
      <alignment horizontal="center" shrinkToFit="1" vertical="top" wrapText="0"/>
    </xf>
    <xf borderId="1" fillId="11" fontId="18" numFmtId="3" xfId="0" applyAlignment="1" applyBorder="1" applyFont="1" applyNumberFormat="1">
      <alignment horizontal="right" shrinkToFit="1" vertical="top" wrapText="0"/>
    </xf>
    <xf borderId="1" fillId="11" fontId="15" numFmtId="3" xfId="0" applyAlignment="1" applyBorder="1" applyFont="1" applyNumberFormat="1">
      <alignment horizontal="right" shrinkToFit="1" vertical="top" wrapText="0"/>
    </xf>
    <xf borderId="0" fillId="4" fontId="15" numFmtId="3" xfId="0" applyAlignment="1" applyFont="1" applyNumberFormat="1">
      <alignment horizontal="right" shrinkToFit="1" vertical="top" wrapText="0"/>
    </xf>
    <xf borderId="0" fillId="10" fontId="15" numFmtId="3" xfId="0" applyAlignment="1" applyFont="1" applyNumberFormat="1">
      <alignment horizontal="right" shrinkToFit="1" vertical="top" wrapText="0"/>
    </xf>
    <xf borderId="0" fillId="4" fontId="16" numFmtId="3" xfId="0" applyAlignment="1" applyFont="1" applyNumberFormat="1">
      <alignment horizontal="right" vertical="top"/>
    </xf>
    <xf borderId="0" fillId="11" fontId="17" numFmtId="4" xfId="0" applyAlignment="1" applyFont="1" applyNumberFormat="1">
      <alignment horizontal="right" vertical="top"/>
    </xf>
    <xf borderId="0" fillId="5" fontId="17" numFmtId="0" xfId="0" applyAlignment="1" applyFont="1">
      <alignment horizontal="left" readingOrder="0" vertical="top"/>
    </xf>
    <xf borderId="0" fillId="11" fontId="17" numFmtId="3" xfId="0" applyAlignment="1" applyFont="1" applyNumberFormat="1">
      <alignment horizontal="left" vertical="top"/>
    </xf>
    <xf borderId="0" fillId="6" fontId="18" numFmtId="2" xfId="0" applyAlignment="1" applyFont="1" applyNumberFormat="1">
      <alignment horizontal="left" readingOrder="0" shrinkToFit="0" vertical="top" wrapText="1"/>
    </xf>
    <xf borderId="0" fillId="11" fontId="18" numFmtId="0" xfId="0" applyAlignment="1" applyFont="1">
      <alignment horizontal="left" readingOrder="0" shrinkToFit="0" vertical="top" wrapText="1"/>
    </xf>
    <xf borderId="0" fillId="11" fontId="20" numFmtId="0" xfId="0" applyAlignment="1" applyFont="1">
      <alignment horizontal="left" readingOrder="0" shrinkToFit="0" vertical="top" wrapText="1"/>
    </xf>
    <xf borderId="0" fillId="11" fontId="21" numFmtId="0" xfId="0" applyAlignment="1" applyFont="1">
      <alignment horizontal="left" readingOrder="0" shrinkToFit="0" vertical="top" wrapText="1"/>
    </xf>
    <xf borderId="0" fillId="11" fontId="17" numFmtId="3" xfId="0" applyAlignment="1" applyFont="1" applyNumberFormat="1">
      <alignment horizontal="left" vertical="top"/>
    </xf>
    <xf borderId="1" fillId="12" fontId="18" numFmtId="0" xfId="0" applyAlignment="1" applyBorder="1" applyFill="1" applyFont="1">
      <alignment horizontal="left" shrinkToFit="0" vertical="top" wrapText="1"/>
    </xf>
    <xf borderId="1" fillId="12" fontId="18" numFmtId="0" xfId="0" applyAlignment="1" applyBorder="1" applyFont="1">
      <alignment horizontal="center" shrinkToFit="0" vertical="top" wrapText="1"/>
    </xf>
    <xf borderId="1" fillId="12" fontId="18" numFmtId="0" xfId="0" applyAlignment="1" applyBorder="1" applyFont="1">
      <alignment horizontal="center" readingOrder="0" shrinkToFit="0" vertical="top" wrapText="1"/>
    </xf>
    <xf borderId="1" fillId="12" fontId="18" numFmtId="3" xfId="0" applyAlignment="1" applyBorder="1" applyFont="1" applyNumberFormat="1">
      <alignment horizontal="center" shrinkToFit="1" vertical="top" wrapText="0"/>
    </xf>
    <xf borderId="1" fillId="12" fontId="18" numFmtId="3" xfId="0" applyAlignment="1" applyBorder="1" applyFont="1" applyNumberFormat="1">
      <alignment horizontal="right" shrinkToFit="1" vertical="top" wrapText="0"/>
    </xf>
    <xf borderId="1" fillId="12" fontId="15" numFmtId="3" xfId="0" applyAlignment="1" applyBorder="1" applyFont="1" applyNumberFormat="1">
      <alignment horizontal="right" shrinkToFit="1" vertical="top" wrapText="0"/>
    </xf>
    <xf borderId="0" fillId="12" fontId="17" numFmtId="3" xfId="0" applyAlignment="1" applyFont="1" applyNumberFormat="1">
      <alignment horizontal="left" vertical="top"/>
    </xf>
    <xf borderId="0" fillId="12" fontId="18" numFmtId="0" xfId="0" applyAlignment="1" applyFont="1">
      <alignment horizontal="left" readingOrder="0" shrinkToFit="0" vertical="top" wrapText="1"/>
    </xf>
    <xf borderId="0" fillId="12" fontId="20" numFmtId="0" xfId="0" applyAlignment="1" applyFont="1">
      <alignment horizontal="left" readingOrder="0" shrinkToFit="0" vertical="top" wrapText="1"/>
    </xf>
    <xf borderId="0" fillId="12" fontId="22" numFmtId="0" xfId="0" applyAlignment="1" applyFont="1">
      <alignment horizontal="left" readingOrder="0" shrinkToFit="0" vertical="top" wrapText="1"/>
    </xf>
    <xf borderId="0" fillId="12" fontId="17" numFmtId="0" xfId="0" applyAlignment="1" applyFont="1">
      <alignment horizontal="left" vertical="top"/>
    </xf>
    <xf borderId="0" fillId="12" fontId="23" numFmtId="0" xfId="0" applyAlignment="1" applyFont="1">
      <alignment horizontal="left" readingOrder="0" shrinkToFit="0" vertical="top" wrapText="1"/>
    </xf>
    <xf borderId="1" fillId="13" fontId="18" numFmtId="1" xfId="0" applyAlignment="1" applyBorder="1" applyFill="1" applyFont="1" applyNumberFormat="1">
      <alignment horizontal="center" readingOrder="0" shrinkToFit="1" vertical="top" wrapText="0"/>
    </xf>
    <xf borderId="1" fillId="13" fontId="18" numFmtId="0" xfId="0" applyAlignment="1" applyBorder="1" applyFont="1">
      <alignment horizontal="left" shrinkToFit="0" vertical="top" wrapText="1"/>
    </xf>
    <xf borderId="1" fillId="13" fontId="18" numFmtId="0" xfId="0" applyAlignment="1" applyBorder="1" applyFont="1">
      <alignment horizontal="center" readingOrder="0" shrinkToFit="0" vertical="top" wrapText="1"/>
    </xf>
    <xf borderId="1" fillId="13" fontId="18" numFmtId="3" xfId="0" applyAlignment="1" applyBorder="1" applyFont="1" applyNumberFormat="1">
      <alignment horizontal="center" shrinkToFit="1" vertical="top" wrapText="0"/>
    </xf>
    <xf borderId="1" fillId="13" fontId="18" numFmtId="3" xfId="0" applyAlignment="1" applyBorder="1" applyFont="1" applyNumberFormat="1">
      <alignment horizontal="right" shrinkToFit="1" vertical="top" wrapText="0"/>
    </xf>
    <xf borderId="1" fillId="13" fontId="15" numFmtId="3" xfId="0" applyAlignment="1" applyBorder="1" applyFont="1" applyNumberFormat="1">
      <alignment horizontal="right" shrinkToFit="1" vertical="top" wrapText="0"/>
    </xf>
    <xf borderId="0" fillId="13" fontId="17" numFmtId="3" xfId="0" applyAlignment="1" applyFont="1" applyNumberFormat="1">
      <alignment horizontal="left" vertical="top"/>
    </xf>
    <xf borderId="0" fillId="13" fontId="18" numFmtId="0" xfId="0" applyAlignment="1" applyFont="1">
      <alignment horizontal="left" readingOrder="0" shrinkToFit="0" vertical="top" wrapText="1"/>
    </xf>
    <xf borderId="0" fillId="13" fontId="20" numFmtId="0" xfId="0" applyAlignment="1" applyFont="1">
      <alignment horizontal="left" readingOrder="0" shrinkToFit="0" vertical="top" wrapText="1"/>
    </xf>
    <xf borderId="0" fillId="13" fontId="24" numFmtId="0" xfId="0" applyAlignment="1" applyFont="1">
      <alignment horizontal="left" readingOrder="0" shrinkToFit="0" vertical="top" wrapText="1"/>
    </xf>
    <xf borderId="0" fillId="13" fontId="17" numFmtId="0" xfId="0" applyAlignment="1" applyFont="1">
      <alignment horizontal="left" vertical="top"/>
    </xf>
    <xf borderId="1" fillId="13" fontId="18" numFmtId="0" xfId="0" applyAlignment="1" applyBorder="1" applyFont="1">
      <alignment horizontal="left" readingOrder="0" shrinkToFit="0" vertical="top" wrapText="1"/>
    </xf>
    <xf borderId="1" fillId="14" fontId="18" numFmtId="1" xfId="0" applyAlignment="1" applyBorder="1" applyFill="1" applyFont="1" applyNumberFormat="1">
      <alignment horizontal="center" readingOrder="0" shrinkToFit="1" vertical="top" wrapText="0"/>
    </xf>
    <xf borderId="1" fillId="14" fontId="18" numFmtId="0" xfId="0" applyAlignment="1" applyBorder="1" applyFont="1">
      <alignment horizontal="left" shrinkToFit="0" vertical="top" wrapText="1"/>
    </xf>
    <xf borderId="1" fillId="14" fontId="18" numFmtId="0" xfId="0" applyAlignment="1" applyBorder="1" applyFont="1">
      <alignment horizontal="center" readingOrder="0" shrinkToFit="0" vertical="top" wrapText="1"/>
    </xf>
    <xf borderId="1" fillId="14" fontId="18" numFmtId="3" xfId="0" applyAlignment="1" applyBorder="1" applyFont="1" applyNumberFormat="1">
      <alignment horizontal="center" shrinkToFit="1" vertical="top" wrapText="0"/>
    </xf>
    <xf borderId="1" fillId="14" fontId="18" numFmtId="3" xfId="0" applyAlignment="1" applyBorder="1" applyFont="1" applyNumberFormat="1">
      <alignment horizontal="right" shrinkToFit="1" vertical="top" wrapText="0"/>
    </xf>
    <xf borderId="1" fillId="14" fontId="15" numFmtId="3" xfId="0" applyAlignment="1" applyBorder="1" applyFont="1" applyNumberFormat="1">
      <alignment horizontal="right" shrinkToFit="1" vertical="top" wrapText="0"/>
    </xf>
    <xf borderId="0" fillId="14" fontId="17" numFmtId="3" xfId="0" applyAlignment="1" applyFont="1" applyNumberFormat="1">
      <alignment horizontal="left" vertical="top"/>
    </xf>
    <xf borderId="0" fillId="14" fontId="18" numFmtId="0" xfId="0" applyAlignment="1" applyFont="1">
      <alignment horizontal="left" readingOrder="0" shrinkToFit="0" vertical="top" wrapText="1"/>
    </xf>
    <xf borderId="0" fillId="14" fontId="20" numFmtId="0" xfId="0" applyAlignment="1" applyFont="1">
      <alignment horizontal="left" readingOrder="0" shrinkToFit="0" vertical="top" wrapText="1"/>
    </xf>
    <xf borderId="0" fillId="14" fontId="25" numFmtId="0" xfId="0" applyAlignment="1" applyFont="1">
      <alignment horizontal="left" readingOrder="0" shrinkToFit="0" vertical="top" wrapText="1"/>
    </xf>
    <xf borderId="0" fillId="14" fontId="17" numFmtId="0" xfId="0" applyAlignment="1" applyFont="1">
      <alignment horizontal="left" vertical="top"/>
    </xf>
    <xf borderId="1" fillId="14" fontId="18" numFmtId="0" xfId="0" applyAlignment="1" applyBorder="1" applyFont="1">
      <alignment horizontal="center" shrinkToFit="0" vertical="top" wrapText="1"/>
    </xf>
    <xf borderId="1" fillId="14" fontId="18" numFmtId="0" xfId="0" applyAlignment="1" applyBorder="1" applyFont="1">
      <alignment horizontal="left" shrinkToFit="0" vertical="center" wrapText="1"/>
    </xf>
    <xf borderId="1" fillId="14" fontId="18" numFmtId="0" xfId="0" applyAlignment="1" applyBorder="1" applyFont="1">
      <alignment horizontal="left" readingOrder="0" shrinkToFit="0" vertical="top" wrapText="1"/>
    </xf>
    <xf borderId="0" fillId="14" fontId="18" numFmtId="0" xfId="0" applyAlignment="1" applyFont="1">
      <alignment horizontal="left" vertical="top"/>
    </xf>
    <xf borderId="1" fillId="12" fontId="18" numFmtId="1" xfId="0" applyAlignment="1" applyBorder="1" applyFont="1" applyNumberFormat="1">
      <alignment horizontal="center" readingOrder="0" shrinkToFit="1" vertical="top" wrapText="0"/>
    </xf>
    <xf borderId="0" fillId="12" fontId="18" numFmtId="0" xfId="0" applyAlignment="1" applyFont="1">
      <alignment horizontal="left" vertical="top"/>
    </xf>
    <xf borderId="1" fillId="15" fontId="18" numFmtId="1" xfId="0" applyAlignment="1" applyBorder="1" applyFill="1" applyFont="1" applyNumberFormat="1">
      <alignment horizontal="center" readingOrder="0" shrinkToFit="1" vertical="top" wrapText="0"/>
    </xf>
    <xf borderId="1" fillId="15" fontId="18" numFmtId="0" xfId="0" applyAlignment="1" applyBorder="1" applyFont="1">
      <alignment horizontal="left" shrinkToFit="0" vertical="top" wrapText="1"/>
    </xf>
    <xf borderId="1" fillId="15" fontId="18" numFmtId="0" xfId="0" applyAlignment="1" applyBorder="1" applyFont="1">
      <alignment horizontal="center" shrinkToFit="0" vertical="top" wrapText="1"/>
    </xf>
    <xf borderId="1" fillId="15" fontId="18" numFmtId="0" xfId="0" applyAlignment="1" applyBorder="1" applyFont="1">
      <alignment horizontal="center" readingOrder="0" shrinkToFit="0" vertical="top" wrapText="1"/>
    </xf>
    <xf borderId="1" fillId="15" fontId="18" numFmtId="3" xfId="0" applyAlignment="1" applyBorder="1" applyFont="1" applyNumberFormat="1">
      <alignment horizontal="center" shrinkToFit="1" vertical="top" wrapText="0"/>
    </xf>
    <xf borderId="1" fillId="15" fontId="18" numFmtId="3" xfId="0" applyAlignment="1" applyBorder="1" applyFont="1" applyNumberFormat="1">
      <alignment horizontal="right" shrinkToFit="1" vertical="top" wrapText="0"/>
    </xf>
    <xf borderId="1" fillId="15" fontId="15" numFmtId="3" xfId="0" applyAlignment="1" applyBorder="1" applyFont="1" applyNumberFormat="1">
      <alignment horizontal="right" shrinkToFit="1" vertical="top" wrapText="0"/>
    </xf>
    <xf borderId="0" fillId="15" fontId="17" numFmtId="3" xfId="0" applyAlignment="1" applyFont="1" applyNumberFormat="1">
      <alignment horizontal="left" vertical="top"/>
    </xf>
    <xf borderId="0" fillId="15" fontId="18" numFmtId="0" xfId="0" applyAlignment="1" applyFont="1">
      <alignment horizontal="left" vertical="top"/>
    </xf>
    <xf borderId="0" fillId="15" fontId="17" numFmtId="0" xfId="0" applyAlignment="1" applyFont="1">
      <alignment horizontal="left" vertical="top"/>
    </xf>
    <xf borderId="1" fillId="6" fontId="18" numFmtId="1" xfId="0" applyAlignment="1" applyBorder="1" applyFont="1" applyNumberFormat="1">
      <alignment horizontal="center" readingOrder="0" shrinkToFit="1" vertical="top" wrapText="0"/>
    </xf>
    <xf borderId="1" fillId="6" fontId="18" numFmtId="0" xfId="0" applyAlignment="1" applyBorder="1" applyFont="1">
      <alignment horizontal="left" shrinkToFit="0" vertical="top" wrapText="1"/>
    </xf>
    <xf borderId="1" fillId="6" fontId="18" numFmtId="0" xfId="0" applyAlignment="1" applyBorder="1" applyFont="1">
      <alignment horizontal="center" shrinkToFit="0" vertical="top" wrapText="1"/>
    </xf>
    <xf borderId="1" fillId="6" fontId="18" numFmtId="0" xfId="0" applyAlignment="1" applyBorder="1" applyFont="1">
      <alignment horizontal="center" readingOrder="0" shrinkToFit="0" vertical="top" wrapText="1"/>
    </xf>
    <xf borderId="1" fillId="6" fontId="18" numFmtId="3" xfId="0" applyAlignment="1" applyBorder="1" applyFont="1" applyNumberFormat="1">
      <alignment horizontal="center" shrinkToFit="1" vertical="top" wrapText="0"/>
    </xf>
    <xf borderId="1" fillId="6" fontId="18" numFmtId="3" xfId="0" applyAlignment="1" applyBorder="1" applyFont="1" applyNumberFormat="1">
      <alignment horizontal="right" shrinkToFit="1" vertical="top" wrapText="0"/>
    </xf>
    <xf borderId="1" fillId="6" fontId="15" numFmtId="3" xfId="0" applyAlignment="1" applyBorder="1" applyFont="1" applyNumberFormat="1">
      <alignment horizontal="right" shrinkToFit="1" vertical="top" wrapText="0"/>
    </xf>
    <xf borderId="0" fillId="6" fontId="17" numFmtId="3" xfId="0" applyAlignment="1" applyFont="1" applyNumberFormat="1">
      <alignment horizontal="left" vertical="top"/>
    </xf>
    <xf borderId="0" fillId="6" fontId="18" numFmtId="0" xfId="0" applyAlignment="1" applyFont="1">
      <alignment horizontal="left" vertical="top"/>
    </xf>
    <xf borderId="0" fillId="6" fontId="17" numFmtId="0" xfId="0" applyAlignment="1" applyFont="1">
      <alignment horizontal="left" vertical="top"/>
    </xf>
    <xf borderId="1" fillId="16" fontId="18" numFmtId="1" xfId="0" applyAlignment="1" applyBorder="1" applyFill="1" applyFont="1" applyNumberFormat="1">
      <alignment horizontal="center" readingOrder="0" shrinkToFit="1" vertical="top" wrapText="0"/>
    </xf>
    <xf borderId="1" fillId="16" fontId="18" numFmtId="0" xfId="0" applyAlignment="1" applyBorder="1" applyFont="1">
      <alignment horizontal="left" shrinkToFit="0" vertical="top" wrapText="1"/>
    </xf>
    <xf borderId="1" fillId="16" fontId="18" numFmtId="0" xfId="0" applyAlignment="1" applyBorder="1" applyFont="1">
      <alignment horizontal="center" shrinkToFit="0" vertical="top" wrapText="1"/>
    </xf>
    <xf borderId="1" fillId="16" fontId="18" numFmtId="0" xfId="0" applyAlignment="1" applyBorder="1" applyFont="1">
      <alignment horizontal="center" readingOrder="0" shrinkToFit="0" vertical="top" wrapText="1"/>
    </xf>
    <xf borderId="1" fillId="16" fontId="18" numFmtId="3" xfId="0" applyAlignment="1" applyBorder="1" applyFont="1" applyNumberFormat="1">
      <alignment horizontal="center" shrinkToFit="1" vertical="top" wrapText="0"/>
    </xf>
    <xf borderId="1" fillId="16" fontId="18" numFmtId="3" xfId="0" applyAlignment="1" applyBorder="1" applyFont="1" applyNumberFormat="1">
      <alignment horizontal="right" shrinkToFit="1" vertical="top" wrapText="0"/>
    </xf>
    <xf borderId="1" fillId="16" fontId="15" numFmtId="3" xfId="0" applyAlignment="1" applyBorder="1" applyFont="1" applyNumberFormat="1">
      <alignment horizontal="right" shrinkToFit="1" vertical="top" wrapText="0"/>
    </xf>
    <xf borderId="0" fillId="16" fontId="17" numFmtId="3" xfId="0" applyAlignment="1" applyFont="1" applyNumberFormat="1">
      <alignment horizontal="left" vertical="top"/>
    </xf>
    <xf borderId="0" fillId="16" fontId="18" numFmtId="0" xfId="0" applyAlignment="1" applyFont="1">
      <alignment horizontal="left" readingOrder="0" shrinkToFit="0" vertical="top" wrapText="1"/>
    </xf>
    <xf borderId="0" fillId="16" fontId="20" numFmtId="0" xfId="0" applyAlignment="1" applyFont="1">
      <alignment horizontal="left" readingOrder="0" shrinkToFit="0" vertical="top" wrapText="1"/>
    </xf>
    <xf borderId="0" fillId="16" fontId="26" numFmtId="0" xfId="0" applyAlignment="1" applyFont="1">
      <alignment horizontal="left" readingOrder="0" shrinkToFit="0" vertical="top" wrapText="1"/>
    </xf>
    <xf borderId="0" fillId="16" fontId="17" numFmtId="0" xfId="0" applyAlignment="1" applyFont="1">
      <alignment horizontal="left" vertical="top"/>
    </xf>
    <xf borderId="0" fillId="3" fontId="18" numFmtId="0" xfId="0" applyAlignment="1" applyFont="1">
      <alignment horizontal="left" vertical="top"/>
    </xf>
    <xf borderId="1" fillId="17" fontId="18" numFmtId="1" xfId="0" applyAlignment="1" applyBorder="1" applyFill="1" applyFont="1" applyNumberFormat="1">
      <alignment horizontal="center" readingOrder="0" shrinkToFit="1" vertical="top" wrapText="0"/>
    </xf>
    <xf borderId="1" fillId="17" fontId="18" numFmtId="0" xfId="0" applyAlignment="1" applyBorder="1" applyFont="1">
      <alignment horizontal="left" shrinkToFit="0" vertical="top" wrapText="1"/>
    </xf>
    <xf borderId="1" fillId="17" fontId="18" numFmtId="0" xfId="0" applyAlignment="1" applyBorder="1" applyFont="1">
      <alignment horizontal="center" shrinkToFit="0" vertical="top" wrapText="1"/>
    </xf>
    <xf borderId="1" fillId="17" fontId="18" numFmtId="0" xfId="0" applyAlignment="1" applyBorder="1" applyFont="1">
      <alignment horizontal="center" readingOrder="0" shrinkToFit="0" vertical="top" wrapText="1"/>
    </xf>
    <xf borderId="1" fillId="17" fontId="18" numFmtId="3" xfId="0" applyAlignment="1" applyBorder="1" applyFont="1" applyNumberFormat="1">
      <alignment horizontal="center" shrinkToFit="1" vertical="top" wrapText="0"/>
    </xf>
    <xf borderId="1" fillId="17" fontId="18" numFmtId="3" xfId="0" applyAlignment="1" applyBorder="1" applyFont="1" applyNumberFormat="1">
      <alignment horizontal="right" shrinkToFit="1" vertical="top" wrapText="0"/>
    </xf>
    <xf borderId="1" fillId="17" fontId="15" numFmtId="3" xfId="0" applyAlignment="1" applyBorder="1" applyFont="1" applyNumberFormat="1">
      <alignment horizontal="right" shrinkToFit="1" vertical="top" wrapText="0"/>
    </xf>
    <xf borderId="0" fillId="17" fontId="17" numFmtId="3" xfId="0" applyAlignment="1" applyFont="1" applyNumberFormat="1">
      <alignment horizontal="left" vertical="top"/>
    </xf>
    <xf borderId="0" fillId="17" fontId="18" numFmtId="0" xfId="0" applyAlignment="1" applyFont="1">
      <alignment horizontal="left" readingOrder="0" shrinkToFit="0" vertical="top" wrapText="1"/>
    </xf>
    <xf borderId="0" fillId="17" fontId="20" numFmtId="0" xfId="0" applyAlignment="1" applyFont="1">
      <alignment horizontal="left" readingOrder="0" shrinkToFit="0" vertical="top" wrapText="1"/>
    </xf>
    <xf borderId="0" fillId="17" fontId="27" numFmtId="0" xfId="0" applyAlignment="1" applyFont="1">
      <alignment horizontal="left" readingOrder="0" shrinkToFit="0" vertical="top" wrapText="1"/>
    </xf>
    <xf borderId="0" fillId="17" fontId="17" numFmtId="0" xfId="0" applyAlignment="1" applyFont="1">
      <alignment horizontal="left" vertical="top"/>
    </xf>
    <xf borderId="0" fillId="17" fontId="18" numFmtId="0" xfId="0" applyAlignment="1" applyFont="1">
      <alignment horizontal="left" vertical="top"/>
    </xf>
    <xf borderId="2" fillId="0" fontId="28" numFmtId="0" xfId="0" applyAlignment="1" applyBorder="1" applyFont="1">
      <alignment horizontal="center" readingOrder="0" shrinkToFit="0" vertical="top" wrapText="1"/>
    </xf>
    <xf borderId="1" fillId="18" fontId="28" numFmtId="1" xfId="0" applyAlignment="1" applyBorder="1" applyFill="1" applyFont="1" applyNumberFormat="1">
      <alignment horizontal="center" readingOrder="0" shrinkToFit="1" vertical="top" wrapText="0"/>
    </xf>
    <xf borderId="1" fillId="18" fontId="28" numFmtId="0" xfId="0" applyAlignment="1" applyBorder="1" applyFont="1">
      <alignment horizontal="left" shrinkToFit="0" vertical="top" wrapText="1"/>
    </xf>
    <xf borderId="1" fillId="18" fontId="28" numFmtId="0" xfId="0" applyAlignment="1" applyBorder="1" applyFont="1">
      <alignment horizontal="center" shrinkToFit="0" vertical="top" wrapText="1"/>
    </xf>
    <xf borderId="1" fillId="18" fontId="28" numFmtId="0" xfId="0" applyAlignment="1" applyBorder="1" applyFont="1">
      <alignment horizontal="center" readingOrder="0" shrinkToFit="0" vertical="top" wrapText="1"/>
    </xf>
    <xf borderId="1" fillId="18" fontId="28" numFmtId="3" xfId="0" applyAlignment="1" applyBorder="1" applyFont="1" applyNumberFormat="1">
      <alignment horizontal="center" shrinkToFit="1" vertical="top" wrapText="0"/>
    </xf>
    <xf borderId="1" fillId="18" fontId="28" numFmtId="0" xfId="0" applyAlignment="1" applyBorder="1" applyFont="1">
      <alignment horizontal="left" shrinkToFit="0" vertical="bottom" wrapText="1"/>
    </xf>
    <xf borderId="1" fillId="18" fontId="29" numFmtId="3" xfId="0" applyAlignment="1" applyBorder="1" applyFont="1" applyNumberFormat="1">
      <alignment horizontal="right" shrinkToFit="1" vertical="top" wrapText="0"/>
    </xf>
    <xf borderId="0" fillId="18" fontId="17" numFmtId="3" xfId="0" applyAlignment="1" applyFont="1" applyNumberFormat="1">
      <alignment horizontal="left" vertical="top"/>
    </xf>
    <xf borderId="0" fillId="18" fontId="18" numFmtId="0" xfId="0" applyAlignment="1" applyFont="1">
      <alignment horizontal="left" readingOrder="0" shrinkToFit="0" vertical="top" wrapText="1"/>
    </xf>
    <xf borderId="0" fillId="18" fontId="20" numFmtId="0" xfId="0" applyAlignment="1" applyFont="1">
      <alignment horizontal="left" readingOrder="0" shrinkToFit="0" vertical="top" wrapText="1"/>
    </xf>
    <xf borderId="0" fillId="18" fontId="30" numFmtId="0" xfId="0" applyAlignment="1" applyFont="1">
      <alignment horizontal="left" readingOrder="0" shrinkToFit="0" vertical="top" wrapText="1"/>
    </xf>
    <xf borderId="0" fillId="18" fontId="17" numFmtId="0" xfId="0" applyAlignment="1" applyFont="1">
      <alignment horizontal="left" vertical="top"/>
    </xf>
    <xf borderId="2" fillId="0" fontId="28" numFmtId="0" xfId="0" applyAlignment="1" applyBorder="1" applyFont="1">
      <alignment horizontal="center" shrinkToFit="0" vertical="top" wrapText="1"/>
    </xf>
    <xf borderId="1" fillId="14" fontId="28" numFmtId="1" xfId="0" applyAlignment="1" applyBorder="1" applyFont="1" applyNumberFormat="1">
      <alignment horizontal="center" readingOrder="0" shrinkToFit="1" vertical="top" wrapText="0"/>
    </xf>
    <xf borderId="1" fillId="14" fontId="28" numFmtId="0" xfId="0" applyAlignment="1" applyBorder="1" applyFont="1">
      <alignment horizontal="left" shrinkToFit="0" vertical="top" wrapText="1"/>
    </xf>
    <xf borderId="1" fillId="14" fontId="28" numFmtId="0" xfId="0" applyAlignment="1" applyBorder="1" applyFont="1">
      <alignment horizontal="center" shrinkToFit="0" vertical="top" wrapText="1"/>
    </xf>
    <xf borderId="1" fillId="14" fontId="31" numFmtId="0" xfId="0" applyAlignment="1" applyBorder="1" applyFont="1">
      <alignment horizontal="left" shrinkToFit="0" vertical="top" wrapText="1"/>
    </xf>
    <xf borderId="1" fillId="14" fontId="28" numFmtId="0" xfId="0" applyAlignment="1" applyBorder="1" applyFont="1">
      <alignment horizontal="center" readingOrder="0" shrinkToFit="0" vertical="top" wrapText="1"/>
    </xf>
    <xf borderId="1" fillId="14" fontId="28" numFmtId="3" xfId="0" applyAlignment="1" applyBorder="1" applyFont="1" applyNumberFormat="1">
      <alignment horizontal="center" shrinkToFit="1" vertical="top" wrapText="0"/>
    </xf>
    <xf borderId="1" fillId="14" fontId="28" numFmtId="0" xfId="0" applyAlignment="1" applyBorder="1" applyFont="1">
      <alignment horizontal="left" shrinkToFit="0" vertical="bottom" wrapText="1"/>
    </xf>
    <xf borderId="1" fillId="14" fontId="29" numFmtId="3" xfId="0" applyAlignment="1" applyBorder="1" applyFont="1" applyNumberFormat="1">
      <alignment horizontal="right" shrinkToFit="1" vertical="top" wrapText="0"/>
    </xf>
    <xf borderId="0" fillId="11" fontId="18" numFmtId="0" xfId="0" applyAlignment="1" applyFont="1">
      <alignment horizontal="left" vertical="top"/>
    </xf>
    <xf borderId="1" fillId="11" fontId="18" numFmtId="0" xfId="0" applyAlignment="1" applyBorder="1" applyFont="1">
      <alignment horizontal="left" readingOrder="0" shrinkToFit="0" vertical="top" wrapText="1"/>
    </xf>
    <xf borderId="1" fillId="11" fontId="18" numFmtId="0" xfId="0" applyAlignment="1" applyBorder="1" applyFont="1">
      <alignment horizontal="left" shrinkToFit="0" vertical="bottom" wrapText="1"/>
    </xf>
    <xf borderId="2" fillId="0" fontId="18" numFmtId="0" xfId="0" applyAlignment="1" applyBorder="1" applyFont="1">
      <alignment horizontal="center" readingOrder="0" shrinkToFit="0" vertical="top" wrapText="1"/>
    </xf>
    <xf borderId="1" fillId="13" fontId="18" numFmtId="0" xfId="0" applyAlignment="1" applyBorder="1" applyFont="1">
      <alignment horizontal="center" shrinkToFit="0" vertical="top" wrapText="1"/>
    </xf>
    <xf borderId="0" fillId="13" fontId="18" numFmtId="0" xfId="0" applyAlignment="1" applyFont="1">
      <alignment horizontal="left" vertical="top"/>
    </xf>
    <xf borderId="1" fillId="13" fontId="18" numFmtId="0" xfId="0" applyAlignment="1" applyBorder="1" applyFont="1">
      <alignment horizontal="left" shrinkToFit="0" vertical="bottom" wrapText="1"/>
    </xf>
    <xf borderId="1" fillId="18" fontId="18" numFmtId="1" xfId="0" applyAlignment="1" applyBorder="1" applyFont="1" applyNumberFormat="1">
      <alignment horizontal="center" readingOrder="0" shrinkToFit="1" vertical="top" wrapText="0"/>
    </xf>
    <xf borderId="1" fillId="18" fontId="18" numFmtId="0" xfId="0" applyAlignment="1" applyBorder="1" applyFont="1">
      <alignment horizontal="left" shrinkToFit="0" vertical="top" wrapText="1"/>
    </xf>
    <xf borderId="1" fillId="18" fontId="18" numFmtId="0" xfId="0" applyAlignment="1" applyBorder="1" applyFont="1">
      <alignment horizontal="center" shrinkToFit="0" vertical="top" wrapText="1"/>
    </xf>
    <xf borderId="1" fillId="18" fontId="18" numFmtId="0" xfId="0" applyAlignment="1" applyBorder="1" applyFont="1">
      <alignment horizontal="center" readingOrder="0" shrinkToFit="0" vertical="top" wrapText="1"/>
    </xf>
    <xf borderId="1" fillId="18" fontId="18" numFmtId="3" xfId="0" applyAlignment="1" applyBorder="1" applyFont="1" applyNumberFormat="1">
      <alignment horizontal="center" shrinkToFit="1" vertical="top" wrapText="0"/>
    </xf>
    <xf borderId="1" fillId="18" fontId="18" numFmtId="3" xfId="0" applyAlignment="1" applyBorder="1" applyFont="1" applyNumberFormat="1">
      <alignment horizontal="right" shrinkToFit="1" vertical="top" wrapText="0"/>
    </xf>
    <xf borderId="1" fillId="18" fontId="15" numFmtId="3" xfId="0" applyAlignment="1" applyBorder="1" applyFont="1" applyNumberFormat="1">
      <alignment horizontal="right" shrinkToFit="1" vertical="top" wrapText="0"/>
    </xf>
    <xf borderId="0" fillId="18" fontId="18" numFmtId="0" xfId="0" applyAlignment="1" applyFont="1">
      <alignment horizontal="left" vertical="top"/>
    </xf>
    <xf borderId="0" fillId="0" fontId="32" numFmtId="0" xfId="0" applyAlignment="1" applyFont="1">
      <alignment horizontal="left" vertical="top"/>
    </xf>
    <xf borderId="1" fillId="19" fontId="18" numFmtId="1" xfId="0" applyAlignment="1" applyBorder="1" applyFill="1" applyFont="1" applyNumberFormat="1">
      <alignment horizontal="center" readingOrder="0" shrinkToFit="1" vertical="top" wrapText="0"/>
    </xf>
    <xf borderId="1" fillId="19" fontId="18" numFmtId="0" xfId="0" applyAlignment="1" applyBorder="1" applyFont="1">
      <alignment horizontal="left" shrinkToFit="0" vertical="top" wrapText="1"/>
    </xf>
    <xf borderId="1" fillId="19" fontId="18" numFmtId="0" xfId="0" applyAlignment="1" applyBorder="1" applyFont="1">
      <alignment horizontal="center" shrinkToFit="0" vertical="top" wrapText="1"/>
    </xf>
    <xf borderId="1" fillId="19" fontId="18" numFmtId="0" xfId="0" applyAlignment="1" applyBorder="1" applyFont="1">
      <alignment horizontal="center" readingOrder="0" shrinkToFit="0" vertical="top" wrapText="1"/>
    </xf>
    <xf borderId="1" fillId="19" fontId="18" numFmtId="3" xfId="0" applyAlignment="1" applyBorder="1" applyFont="1" applyNumberFormat="1">
      <alignment horizontal="center" shrinkToFit="1" vertical="top" wrapText="0"/>
    </xf>
    <xf borderId="1" fillId="19" fontId="18" numFmtId="3" xfId="0" applyAlignment="1" applyBorder="1" applyFont="1" applyNumberFormat="1">
      <alignment horizontal="right" shrinkToFit="1" vertical="top" wrapText="0"/>
    </xf>
    <xf borderId="1" fillId="19" fontId="15" numFmtId="3" xfId="0" applyAlignment="1" applyBorder="1" applyFont="1" applyNumberFormat="1">
      <alignment horizontal="right" shrinkToFit="1" vertical="top" wrapText="0"/>
    </xf>
    <xf borderId="0" fillId="19" fontId="17" numFmtId="3" xfId="0" applyAlignment="1" applyFont="1" applyNumberFormat="1">
      <alignment horizontal="left" vertical="top"/>
    </xf>
    <xf borderId="0" fillId="19" fontId="18" numFmtId="0" xfId="0" applyAlignment="1" applyFont="1">
      <alignment horizontal="left" vertical="top"/>
    </xf>
    <xf borderId="0" fillId="19" fontId="17" numFmtId="0" xfId="0" applyAlignment="1" applyFont="1">
      <alignment horizontal="left" vertical="top"/>
    </xf>
    <xf borderId="0" fillId="19" fontId="32" numFmtId="0" xfId="0" applyAlignment="1" applyFont="1">
      <alignment horizontal="left" vertical="top"/>
    </xf>
    <xf borderId="1" fillId="19" fontId="18" numFmtId="0" xfId="0" applyAlignment="1" applyBorder="1" applyFont="1">
      <alignment horizontal="left" readingOrder="0" shrinkToFit="0" vertical="top" wrapText="1"/>
    </xf>
    <xf borderId="0" fillId="19" fontId="18" numFmtId="0" xfId="0" applyAlignment="1" applyFont="1">
      <alignment horizontal="left" readingOrder="0" shrinkToFit="0" vertical="top" wrapText="1"/>
    </xf>
    <xf borderId="0" fillId="19" fontId="20" numFmtId="0" xfId="0" applyAlignment="1" applyFont="1">
      <alignment horizontal="left" readingOrder="0" shrinkToFit="0" vertical="top" wrapText="1"/>
    </xf>
    <xf borderId="0" fillId="19" fontId="33" numFmtId="0" xfId="0" applyAlignment="1" applyFont="1">
      <alignment horizontal="left" readingOrder="0" shrinkToFit="0" vertical="top" wrapText="1"/>
    </xf>
    <xf borderId="0" fillId="12" fontId="32" numFmtId="0" xfId="0" applyAlignment="1" applyFont="1">
      <alignment horizontal="left" vertical="top"/>
    </xf>
    <xf borderId="1" fillId="12" fontId="17" numFmtId="0" xfId="0" applyAlignment="1" applyBorder="1" applyFont="1">
      <alignment horizontal="left" shrinkToFit="0" vertical="top" wrapText="1"/>
    </xf>
    <xf borderId="0" fillId="0" fontId="34" numFmtId="0" xfId="0" applyAlignment="1" applyFont="1">
      <alignment horizontal="center" vertical="top"/>
    </xf>
    <xf borderId="0" fillId="0" fontId="35" numFmtId="0" xfId="0" applyAlignment="1" applyFont="1">
      <alignment horizontal="left" vertical="top"/>
    </xf>
    <xf borderId="0" fillId="4" fontId="35" numFmtId="0" xfId="0" applyAlignment="1" applyFont="1">
      <alignment horizontal="left" vertical="top"/>
    </xf>
    <xf borderId="0" fillId="10" fontId="35" numFmtId="0" xfId="0" applyAlignment="1" applyFont="1">
      <alignment horizontal="left" vertical="top"/>
    </xf>
    <xf borderId="0" fillId="4" fontId="19" numFmtId="0" xfId="0" applyAlignment="1" applyFont="1">
      <alignment horizontal="left" vertical="top"/>
    </xf>
    <xf borderId="0" fillId="0" fontId="36" numFmtId="4" xfId="0" applyAlignment="1" applyFont="1" applyNumberFormat="1">
      <alignment horizontal="right" vertical="top"/>
    </xf>
    <xf borderId="0" fillId="5" fontId="34" numFmtId="0" xfId="0" applyAlignment="1" applyFont="1">
      <alignment horizontal="left" vertical="top"/>
    </xf>
    <xf borderId="0" fillId="0" fontId="34" numFmtId="3" xfId="0" applyAlignment="1" applyFont="1" applyNumberFormat="1">
      <alignment horizontal="left" vertical="top"/>
    </xf>
    <xf borderId="0" fillId="6" fontId="37" numFmtId="0" xfId="0" applyAlignment="1" applyFont="1">
      <alignment horizontal="left" vertical="top"/>
    </xf>
    <xf borderId="0" fillId="3" fontId="37" numFmtId="0" xfId="0" applyAlignment="1" applyFont="1">
      <alignment horizontal="left"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3">
    <tableStyle count="2" pivot="0" name="2026 April Terbaru-style">
      <tableStyleElement dxfId="1" type="firstRowStripe"/>
      <tableStyleElement dxfId="2" type="secondRowStripe"/>
    </tableStyle>
    <tableStyle count="2" pivot="0" name="2026 April Terbaru-style 2">
      <tableStyleElement dxfId="2" type="firstRowStripe"/>
      <tableStyleElement dxfId="1" type="secondRowStripe"/>
    </tableStyle>
    <tableStyle count="2" pivot="0" name="2026 April Terbaru-style 3">
      <tableStyleElement dxfId="1" type="firstRowStripe"/>
      <tableStyleElement dxfId="2" type="secondRowStripe"/>
    </tableStyle>
    <tableStyle count="2" pivot="0" name="2026 April Terbaru-style 4">
      <tableStyleElement dxfId="1" type="firstRowStripe"/>
      <tableStyleElement dxfId="2" type="secondRowStripe"/>
    </tableStyle>
    <tableStyle count="2" pivot="0" name="2026 April Terbaru-style 5">
      <tableStyleElement dxfId="1" type="firstRowStripe"/>
      <tableStyleElement dxfId="2" type="secondRowStripe"/>
    </tableStyle>
    <tableStyle count="2" pivot="0" name="2026 April Terbaru-style 6">
      <tableStyleElement dxfId="2" type="firstRowStripe"/>
      <tableStyleElement dxfId="1" type="secondRowStripe"/>
    </tableStyle>
    <tableStyle count="2" pivot="0" name="Salinan dari 2026 April Terbaru-style">
      <tableStyleElement dxfId="1" type="firstRowStripe"/>
      <tableStyleElement dxfId="2" type="secondRowStripe"/>
    </tableStyle>
    <tableStyle count="2" pivot="0" name="Salinan dari 2026 April Terbaru-style 2">
      <tableStyleElement dxfId="2" type="firstRowStripe"/>
      <tableStyleElement dxfId="1" type="secondRowStripe"/>
    </tableStyle>
    <tableStyle count="2" pivot="0" name="Salinan dari 2026 April Terbaru-style 3">
      <tableStyleElement dxfId="1" type="firstRowStripe"/>
      <tableStyleElement dxfId="2" type="secondRowStripe"/>
    </tableStyle>
    <tableStyle count="2" pivot="0" name="Salinan dari 2026 April Terbaru-style 4">
      <tableStyleElement dxfId="2" type="firstRowStripe"/>
      <tableStyleElement dxfId="1" type="secondRowStripe"/>
    </tableStyle>
    <tableStyle count="2" pivot="0" name="Salinan dari 2026 April Terbaru-style 5">
      <tableStyleElement dxfId="1" type="firstRowStripe"/>
      <tableStyleElement dxfId="2" type="secondRowStripe"/>
    </tableStyle>
    <tableStyle count="2" pivot="0" name="Salinan dari 2026 April Terbaru-style 6">
      <tableStyleElement dxfId="1" type="firstRowStripe"/>
      <tableStyleElement dxfId="2" type="secondRowStripe"/>
    </tableStyle>
    <tableStyle count="2" pivot="0" name="Salinan dari 2026 April Terbaru-style 7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:B30" displayName="Table_1" name="Table_1" id="1">
  <tableColumns count="1">
    <tableColumn name="Column1" id="1"/>
  </tableColumns>
  <tableStyleInfo name="2026 April Terbaru-style" showColumnStripes="0" showFirstColumn="1" showLastColumn="1" showRowStripes="1"/>
</table>
</file>

<file path=xl/tables/table2.xml><?xml version="1.0" encoding="utf-8"?>
<table xmlns="http://schemas.openxmlformats.org/spreadsheetml/2006/main" headerRowCount="0" ref="B33:B39" displayName="Table_2" name="Table_2" id="2">
  <tableColumns count="1">
    <tableColumn name="Column1" id="1"/>
  </tableColumns>
  <tableStyleInfo name="2026 April Terbaru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1:B55" displayName="Table_3" name="Table_3" id="3">
  <tableColumns count="1">
    <tableColumn name="Column1" id="1"/>
  </tableColumns>
  <tableStyleInfo name="2026 April Terbaru-style 3" showColumnStripes="0" showFirstColumn="1" showLastColumn="1" showRowStripes="1"/>
</table>
</file>

<file path=xl/tables/table4.xml><?xml version="1.0" encoding="utf-8"?>
<table xmlns="http://schemas.openxmlformats.org/spreadsheetml/2006/main" headerRowCount="0" ref="B63:B72" displayName="Table_4" name="Table_4" id="4">
  <tableColumns count="1">
    <tableColumn name="Column1" id="1"/>
  </tableColumns>
  <tableStyleInfo name="2026 April Terbaru-style 4" showColumnStripes="0" showFirstColumn="1" showLastColumn="1" showRowStripes="1"/>
</table>
</file>

<file path=xl/tables/table5.xml><?xml version="1.0" encoding="utf-8"?>
<table xmlns="http://schemas.openxmlformats.org/spreadsheetml/2006/main" headerRowCount="0" ref="B74:B80" displayName="Table_5" name="Table_5" id="5">
  <tableColumns count="1">
    <tableColumn name="Column1" id="1"/>
  </tableColumns>
  <tableStyleInfo name="2026 April Terbaru-style 5" showColumnStripes="0" showFirstColumn="1" showLastColumn="1" showRowStripes="1"/>
</table>
</file>

<file path=xl/tables/table6.xml><?xml version="1.0" encoding="utf-8"?>
<table xmlns="http://schemas.openxmlformats.org/spreadsheetml/2006/main" headerRowCount="0" ref="B82:B87" displayName="Table_6" name="Table_6" id="6">
  <tableColumns count="1">
    <tableColumn name="Column1" id="1"/>
  </tableColumns>
  <tableStyleInfo name="2026 April Terbaru-style 6" showColumnStripes="0" showFirstColumn="1" showLastColumn="1" showRowStripes="1"/>
</table>
</file>

<file path=xl/tables/table7.xml><?xml version="1.0" encoding="utf-8"?>
<table xmlns="http://schemas.openxmlformats.org/spreadsheetml/2006/main" headerRowCount="0" ref="B2:B29" displayName="Table_7" name="Table_7" id="7">
  <tableColumns count="1">
    <tableColumn name="Column1" id="1"/>
  </tableColumns>
  <tableStyleInfo name="Salinan dari 2026 April Terbaru-style" showColumnStripes="0" showFirstColumn="1" showLastColumn="1" showRowStripes="1"/>
</table>
</file>

<file path=xl/tables/table8.xml><?xml version="1.0" encoding="utf-8"?>
<table xmlns="http://schemas.openxmlformats.org/spreadsheetml/2006/main" headerRowCount="0" ref="B30:B36" displayName="Table_8" name="Table_8" id="8">
  <tableColumns count="1">
    <tableColumn name="Column1" id="1"/>
  </tableColumns>
  <tableStyleInfo name="Salinan dari 2026 April Terbaru-style 2" showColumnStripes="0" showFirstColumn="1" showLastColumn="1" showRowStripes="1"/>
</table>
</file>

<file path=xl/tables/table9.xml><?xml version="1.0" encoding="utf-8"?>
<table xmlns="http://schemas.openxmlformats.org/spreadsheetml/2006/main" headerRowCount="0" ref="B37:B51" displayName="Table_9" name="Table_9" id="9">
  <tableColumns count="1">
    <tableColumn name="Column1" id="1"/>
  </tableColumns>
  <tableStyleInfo name="Salinan dari 2026 April Terbaru-style 3" showColumnStripes="0" showFirstColumn="1" showLastColumn="1" showRowStripes="1"/>
</table>
</file>

<file path=xl/tables/table10.xml><?xml version="1.0" encoding="utf-8"?>
<table xmlns="http://schemas.openxmlformats.org/spreadsheetml/2006/main" headerRowCount="0" ref="N52:N53" displayName="Table_10" name="Table_10" id="10">
  <tableColumns count="1">
    <tableColumn name="Column1" id="1"/>
  </tableColumns>
  <tableStyleInfo name="Salinan dari 2026 April Terbaru-style 4" showColumnStripes="0" showFirstColumn="1" showLastColumn="1" showRowStripes="1"/>
</table>
</file>

<file path=xl/tables/table11.xml><?xml version="1.0" encoding="utf-8"?>
<table xmlns="http://schemas.openxmlformats.org/spreadsheetml/2006/main" headerRowCount="0" ref="B55:B64" displayName="Table_11" name="Table_11" id="11">
  <tableColumns count="1">
    <tableColumn name="Column1" id="1"/>
  </tableColumns>
  <tableStyleInfo name="Salinan dari 2026 April Terbaru-style 5" showColumnStripes="0" showFirstColumn="1" showLastColumn="1" showRowStripes="1"/>
</table>
</file>

<file path=xl/tables/table12.xml><?xml version="1.0" encoding="utf-8"?>
<table xmlns="http://schemas.openxmlformats.org/spreadsheetml/2006/main" headerRowCount="0" ref="B65:B71" displayName="Table_12" name="Table_12" id="12">
  <tableColumns count="1">
    <tableColumn name="Column1" id="1"/>
  </tableColumns>
  <tableStyleInfo name="Salinan dari 2026 April Terbaru-style 6" showColumnStripes="0" showFirstColumn="1" showLastColumn="1" showRowStripes="1"/>
</table>
</file>

<file path=xl/tables/table13.xml><?xml version="1.0" encoding="utf-8"?>
<table xmlns="http://schemas.openxmlformats.org/spreadsheetml/2006/main" headerRowCount="0" ref="B72:B77" displayName="Table_13" name="Table_13" id="13">
  <tableColumns count="1">
    <tableColumn name="Column1" id="1"/>
  </tableColumns>
  <tableStyleInfo name="Salinan dari 2026 April Terbaru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ee.co.id/apbootsofficial" TargetMode="External"/><Relationship Id="rId20" Type="http://schemas.openxmlformats.org/officeDocument/2006/relationships/hyperlink" Target="https://shopee.co.id/apbootsofficial" TargetMode="External"/><Relationship Id="rId42" Type="http://schemas.openxmlformats.org/officeDocument/2006/relationships/hyperlink" Target="https://shopee.co.id/apbootsofficial" TargetMode="External"/><Relationship Id="rId41" Type="http://schemas.openxmlformats.org/officeDocument/2006/relationships/hyperlink" Target="https://shopee.co.id/apbootsofficial" TargetMode="External"/><Relationship Id="rId22" Type="http://schemas.openxmlformats.org/officeDocument/2006/relationships/hyperlink" Target="https://shopee.co.id/apbootsofficial" TargetMode="External"/><Relationship Id="rId44" Type="http://schemas.openxmlformats.org/officeDocument/2006/relationships/hyperlink" Target="https://shopee.co.id/apbootsofficial" TargetMode="External"/><Relationship Id="rId21" Type="http://schemas.openxmlformats.org/officeDocument/2006/relationships/hyperlink" Target="https://shopee.co.id/apbootsofficial" TargetMode="External"/><Relationship Id="rId43" Type="http://schemas.openxmlformats.org/officeDocument/2006/relationships/hyperlink" Target="https://shopee.co.id/apbootsofficial" TargetMode="External"/><Relationship Id="rId24" Type="http://schemas.openxmlformats.org/officeDocument/2006/relationships/hyperlink" Target="https://shopee.co.id/apbootsofficial" TargetMode="External"/><Relationship Id="rId46" Type="http://schemas.openxmlformats.org/officeDocument/2006/relationships/hyperlink" Target="https://shopee.co.id/apbootsofficial" TargetMode="External"/><Relationship Id="rId23" Type="http://schemas.openxmlformats.org/officeDocument/2006/relationships/hyperlink" Target="https://shopee.co.id/apbootsofficial" TargetMode="External"/><Relationship Id="rId45" Type="http://schemas.openxmlformats.org/officeDocument/2006/relationships/hyperlink" Target="https://shopee.co.id/apbootsofficial" TargetMode="External"/><Relationship Id="rId1" Type="http://schemas.openxmlformats.org/officeDocument/2006/relationships/hyperlink" Target="https://shopee.co.id/apbootsofficial" TargetMode="External"/><Relationship Id="rId2" Type="http://schemas.openxmlformats.org/officeDocument/2006/relationships/hyperlink" Target="https://shopee.co.id/apbootsofficial" TargetMode="External"/><Relationship Id="rId3" Type="http://schemas.openxmlformats.org/officeDocument/2006/relationships/hyperlink" Target="https://shopee.co.id/apbootsofficial" TargetMode="External"/><Relationship Id="rId4" Type="http://schemas.openxmlformats.org/officeDocument/2006/relationships/hyperlink" Target="https://shopee.co.id/apbootsofficial" TargetMode="External"/><Relationship Id="rId9" Type="http://schemas.openxmlformats.org/officeDocument/2006/relationships/hyperlink" Target="https://shopee.co.id/apbootsofficial" TargetMode="External"/><Relationship Id="rId26" Type="http://schemas.openxmlformats.org/officeDocument/2006/relationships/hyperlink" Target="https://shopee.co.id/apbootsofficial" TargetMode="External"/><Relationship Id="rId25" Type="http://schemas.openxmlformats.org/officeDocument/2006/relationships/hyperlink" Target="https://shopee.co.id/apbootsofficial" TargetMode="External"/><Relationship Id="rId47" Type="http://schemas.openxmlformats.org/officeDocument/2006/relationships/drawing" Target="../drawings/drawing4.xml"/><Relationship Id="rId28" Type="http://schemas.openxmlformats.org/officeDocument/2006/relationships/hyperlink" Target="https://shopee.co.id/apbootsofficial" TargetMode="External"/><Relationship Id="rId27" Type="http://schemas.openxmlformats.org/officeDocument/2006/relationships/hyperlink" Target="https://shopee.co.id/apbootsofficial" TargetMode="External"/><Relationship Id="rId5" Type="http://schemas.openxmlformats.org/officeDocument/2006/relationships/hyperlink" Target="https://shopee.co.id/apbootsofficial" TargetMode="External"/><Relationship Id="rId6" Type="http://schemas.openxmlformats.org/officeDocument/2006/relationships/hyperlink" Target="https://shopee.co.id/apbootsofficial" TargetMode="External"/><Relationship Id="rId29" Type="http://schemas.openxmlformats.org/officeDocument/2006/relationships/hyperlink" Target="https://shopee.co.id/apbootsofficial" TargetMode="External"/><Relationship Id="rId7" Type="http://schemas.openxmlformats.org/officeDocument/2006/relationships/hyperlink" Target="https://shopee.co.id/apbootsofficial" TargetMode="External"/><Relationship Id="rId8" Type="http://schemas.openxmlformats.org/officeDocument/2006/relationships/hyperlink" Target="https://shopee.co.id/apbootsofficial" TargetMode="External"/><Relationship Id="rId31" Type="http://schemas.openxmlformats.org/officeDocument/2006/relationships/hyperlink" Target="https://shopee.co.id/apbootsofficial" TargetMode="External"/><Relationship Id="rId30" Type="http://schemas.openxmlformats.org/officeDocument/2006/relationships/hyperlink" Target="https://shopee.co.id/apbootsofficial" TargetMode="External"/><Relationship Id="rId11" Type="http://schemas.openxmlformats.org/officeDocument/2006/relationships/hyperlink" Target="https://shopee.co.id/apbootsofficial" TargetMode="External"/><Relationship Id="rId33" Type="http://schemas.openxmlformats.org/officeDocument/2006/relationships/hyperlink" Target="https://shopee.co.id/apbootsofficial" TargetMode="External"/><Relationship Id="rId10" Type="http://schemas.openxmlformats.org/officeDocument/2006/relationships/hyperlink" Target="https://shopee.co.id/apbootsofficial" TargetMode="External"/><Relationship Id="rId32" Type="http://schemas.openxmlformats.org/officeDocument/2006/relationships/hyperlink" Target="https://shopee.co.id/apbootsofficial" TargetMode="External"/><Relationship Id="rId13" Type="http://schemas.openxmlformats.org/officeDocument/2006/relationships/hyperlink" Target="https://shopee.co.id/apbootsofficial" TargetMode="External"/><Relationship Id="rId35" Type="http://schemas.openxmlformats.org/officeDocument/2006/relationships/hyperlink" Target="https://shopee.co.id/apbootsofficial" TargetMode="External"/><Relationship Id="rId12" Type="http://schemas.openxmlformats.org/officeDocument/2006/relationships/hyperlink" Target="https://shopee.co.id/apbootsofficial" TargetMode="External"/><Relationship Id="rId34" Type="http://schemas.openxmlformats.org/officeDocument/2006/relationships/hyperlink" Target="https://shopee.co.id/apbootsofficial" TargetMode="External"/><Relationship Id="rId15" Type="http://schemas.openxmlformats.org/officeDocument/2006/relationships/hyperlink" Target="https://shopee.co.id/apbootsofficial" TargetMode="External"/><Relationship Id="rId37" Type="http://schemas.openxmlformats.org/officeDocument/2006/relationships/hyperlink" Target="https://shopee.co.id/apbootsofficial" TargetMode="External"/><Relationship Id="rId14" Type="http://schemas.openxmlformats.org/officeDocument/2006/relationships/hyperlink" Target="https://shopee.co.id/apbootsofficial" TargetMode="External"/><Relationship Id="rId36" Type="http://schemas.openxmlformats.org/officeDocument/2006/relationships/hyperlink" Target="https://shopee.co.id/apbootsofficial" TargetMode="External"/><Relationship Id="rId17" Type="http://schemas.openxmlformats.org/officeDocument/2006/relationships/hyperlink" Target="https://shopee.co.id/apbootsofficial" TargetMode="External"/><Relationship Id="rId39" Type="http://schemas.openxmlformats.org/officeDocument/2006/relationships/hyperlink" Target="https://shopee.co.id/apbootsofficial" TargetMode="External"/><Relationship Id="rId16" Type="http://schemas.openxmlformats.org/officeDocument/2006/relationships/hyperlink" Target="https://shopee.co.id/apbootsofficial" TargetMode="External"/><Relationship Id="rId38" Type="http://schemas.openxmlformats.org/officeDocument/2006/relationships/hyperlink" Target="https://shopee.co.id/apbootsofficial" TargetMode="External"/><Relationship Id="rId19" Type="http://schemas.openxmlformats.org/officeDocument/2006/relationships/hyperlink" Target="https://shopee.co.id/apbootsofficial" TargetMode="External"/><Relationship Id="rId18" Type="http://schemas.openxmlformats.org/officeDocument/2006/relationships/hyperlink" Target="https://shopee.co.id/apbootsoffic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8.75"/>
    <col customWidth="1" min="3" max="3" width="44.38"/>
    <col customWidth="1" min="4" max="4" width="8.88"/>
    <col customWidth="1" min="5" max="5" width="20.13"/>
    <col customWidth="1" min="6" max="6" width="12.38"/>
    <col customWidth="1" hidden="1" min="7" max="10" width="16.0"/>
    <col customWidth="1" min="11" max="11" width="13.63"/>
    <col customWidth="1" min="12" max="12" width="12.25"/>
    <col customWidth="1" min="13" max="13" width="10.88"/>
    <col customWidth="1" min="14" max="14" width="15.63"/>
    <col customWidth="1" hidden="1" min="15" max="16" width="16.0"/>
    <col customWidth="1" min="17" max="17" width="7.88"/>
    <col customWidth="1" min="18" max="18" width="14.75"/>
  </cols>
  <sheetData>
    <row r="1">
      <c r="A1" s="1" t="s">
        <v>0</v>
      </c>
      <c r="B1" s="2"/>
      <c r="C1" s="3" t="s">
        <v>1</v>
      </c>
      <c r="D1" s="1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 t="s">
        <v>7</v>
      </c>
      <c r="J1" s="6" t="s">
        <v>8</v>
      </c>
      <c r="K1" s="7" t="s">
        <v>7</v>
      </c>
      <c r="L1" s="8" t="s">
        <v>9</v>
      </c>
      <c r="M1" s="8" t="s">
        <v>8</v>
      </c>
      <c r="N1" s="9" t="s">
        <v>10</v>
      </c>
      <c r="O1" s="10" t="s">
        <v>11</v>
      </c>
      <c r="P1" s="11" t="s">
        <v>12</v>
      </c>
      <c r="Q1" s="12" t="s">
        <v>13</v>
      </c>
      <c r="R1" s="13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6"/>
      <c r="C2" s="16"/>
      <c r="D2" s="16"/>
      <c r="E2" s="16"/>
      <c r="F2" s="16"/>
      <c r="G2" s="16"/>
      <c r="H2" s="16"/>
      <c r="I2" s="17"/>
      <c r="J2" s="18">
        <v>0.18</v>
      </c>
      <c r="K2" s="19">
        <v>1000.0</v>
      </c>
      <c r="L2" s="8"/>
      <c r="M2" s="8">
        <v>0.18</v>
      </c>
      <c r="N2" s="20"/>
      <c r="O2" s="21"/>
      <c r="P2" s="21"/>
      <c r="Q2" s="22">
        <v>17000.0</v>
      </c>
      <c r="R2" s="23">
        <v>46118.0</v>
      </c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4">
        <v>1.0</v>
      </c>
      <c r="B3" s="25" t="s">
        <v>15</v>
      </c>
      <c r="C3" s="26" t="s">
        <v>16</v>
      </c>
      <c r="D3" s="27" t="s">
        <v>17</v>
      </c>
      <c r="E3" s="26" t="s">
        <v>18</v>
      </c>
      <c r="F3" s="27">
        <v>24.0</v>
      </c>
      <c r="G3" s="28">
        <v>45.0</v>
      </c>
      <c r="H3" s="24">
        <v>5.0</v>
      </c>
      <c r="I3" s="29">
        <v>50.0</v>
      </c>
      <c r="J3" s="30">
        <f t="shared" ref="J3:J30" si="1">I3-(I3*$J$2)</f>
        <v>41</v>
      </c>
      <c r="K3" s="31">
        <f t="shared" ref="K3:K30" si="2">I3*$K$2</f>
        <v>50000</v>
      </c>
      <c r="L3" s="32">
        <v>0.18</v>
      </c>
      <c r="M3" s="33">
        <f t="shared" ref="M3:M30" si="3">K3-(K3*L3)</f>
        <v>41000</v>
      </c>
      <c r="N3" s="20">
        <f t="shared" ref="N3:N30" si="4">K3*F3</f>
        <v>1200000</v>
      </c>
      <c r="O3" s="21"/>
      <c r="P3" s="21"/>
      <c r="Q3" s="34">
        <f t="shared" ref="Q3:Q30" si="5">ROUNDUP(K3/$Q$2,0)</f>
        <v>3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24">
        <v>2.0</v>
      </c>
      <c r="B4" s="25" t="s">
        <v>19</v>
      </c>
      <c r="C4" s="26" t="s">
        <v>20</v>
      </c>
      <c r="D4" s="27" t="s">
        <v>17</v>
      </c>
      <c r="E4" s="26" t="s">
        <v>21</v>
      </c>
      <c r="F4" s="27">
        <v>24.0</v>
      </c>
      <c r="G4" s="28">
        <v>46.0</v>
      </c>
      <c r="H4" s="24">
        <v>5.0</v>
      </c>
      <c r="I4" s="29">
        <v>51.0</v>
      </c>
      <c r="J4" s="30">
        <f t="shared" si="1"/>
        <v>41.82</v>
      </c>
      <c r="K4" s="31">
        <f t="shared" si="2"/>
        <v>51000</v>
      </c>
      <c r="L4" s="32">
        <v>0.18</v>
      </c>
      <c r="M4" s="33">
        <f t="shared" si="3"/>
        <v>41820</v>
      </c>
      <c r="N4" s="20">
        <f t="shared" si="4"/>
        <v>1224000</v>
      </c>
      <c r="O4" s="21"/>
      <c r="P4" s="21"/>
      <c r="Q4" s="34">
        <f t="shared" si="5"/>
        <v>3</v>
      </c>
      <c r="R4" s="13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24">
        <v>3.0</v>
      </c>
      <c r="B5" s="25" t="s">
        <v>22</v>
      </c>
      <c r="C5" s="26" t="s">
        <v>23</v>
      </c>
      <c r="D5" s="27" t="s">
        <v>24</v>
      </c>
      <c r="E5" s="26" t="s">
        <v>25</v>
      </c>
      <c r="F5" s="27">
        <v>12.0</v>
      </c>
      <c r="G5" s="28">
        <v>55.0</v>
      </c>
      <c r="H5" s="24">
        <v>6.0</v>
      </c>
      <c r="I5" s="29">
        <v>61.0</v>
      </c>
      <c r="J5" s="30">
        <f t="shared" si="1"/>
        <v>50.02</v>
      </c>
      <c r="K5" s="31">
        <f t="shared" si="2"/>
        <v>61000</v>
      </c>
      <c r="L5" s="32">
        <v>0.18</v>
      </c>
      <c r="M5" s="33">
        <f t="shared" si="3"/>
        <v>50020</v>
      </c>
      <c r="N5" s="20">
        <f t="shared" si="4"/>
        <v>732000</v>
      </c>
      <c r="O5" s="21"/>
      <c r="P5" s="21"/>
      <c r="Q5" s="34">
        <f t="shared" si="5"/>
        <v>4</v>
      </c>
      <c r="R5" s="13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24">
        <v>4.0</v>
      </c>
      <c r="B6" s="25" t="s">
        <v>26</v>
      </c>
      <c r="C6" s="26" t="s">
        <v>27</v>
      </c>
      <c r="D6" s="27" t="s">
        <v>24</v>
      </c>
      <c r="E6" s="26" t="s">
        <v>28</v>
      </c>
      <c r="F6" s="27">
        <v>12.0</v>
      </c>
      <c r="G6" s="28">
        <v>55.0</v>
      </c>
      <c r="H6" s="24">
        <v>6.0</v>
      </c>
      <c r="I6" s="29">
        <v>61.0</v>
      </c>
      <c r="J6" s="30">
        <f t="shared" si="1"/>
        <v>50.02</v>
      </c>
      <c r="K6" s="31">
        <f t="shared" si="2"/>
        <v>61000</v>
      </c>
      <c r="L6" s="32">
        <v>0.18</v>
      </c>
      <c r="M6" s="33">
        <f t="shared" si="3"/>
        <v>50020</v>
      </c>
      <c r="N6" s="20">
        <f t="shared" si="4"/>
        <v>732000</v>
      </c>
      <c r="O6" s="21"/>
      <c r="P6" s="21"/>
      <c r="Q6" s="34">
        <f t="shared" si="5"/>
        <v>4</v>
      </c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24">
        <v>5.0</v>
      </c>
      <c r="B7" s="25" t="s">
        <v>29</v>
      </c>
      <c r="C7" s="26" t="s">
        <v>30</v>
      </c>
      <c r="D7" s="27" t="s">
        <v>31</v>
      </c>
      <c r="E7" s="26" t="s">
        <v>25</v>
      </c>
      <c r="F7" s="27">
        <v>12.0</v>
      </c>
      <c r="G7" s="28">
        <v>55.0</v>
      </c>
      <c r="H7" s="24">
        <v>6.0</v>
      </c>
      <c r="I7" s="29">
        <v>61.0</v>
      </c>
      <c r="J7" s="30">
        <f t="shared" si="1"/>
        <v>50.02</v>
      </c>
      <c r="K7" s="31">
        <f t="shared" si="2"/>
        <v>61000</v>
      </c>
      <c r="L7" s="32">
        <v>0.18</v>
      </c>
      <c r="M7" s="33">
        <f t="shared" si="3"/>
        <v>50020</v>
      </c>
      <c r="N7" s="20">
        <f t="shared" si="4"/>
        <v>732000</v>
      </c>
      <c r="O7" s="21"/>
      <c r="P7" s="21"/>
      <c r="Q7" s="34">
        <f t="shared" si="5"/>
        <v>4</v>
      </c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24">
        <v>6.0</v>
      </c>
      <c r="B8" s="25" t="s">
        <v>32</v>
      </c>
      <c r="C8" s="26" t="s">
        <v>33</v>
      </c>
      <c r="D8" s="27" t="s">
        <v>31</v>
      </c>
      <c r="E8" s="26" t="s">
        <v>28</v>
      </c>
      <c r="F8" s="27">
        <v>12.0</v>
      </c>
      <c r="G8" s="28">
        <v>55.0</v>
      </c>
      <c r="H8" s="24">
        <v>6.0</v>
      </c>
      <c r="I8" s="29">
        <v>61.0</v>
      </c>
      <c r="J8" s="30">
        <f t="shared" si="1"/>
        <v>50.02</v>
      </c>
      <c r="K8" s="31">
        <f t="shared" si="2"/>
        <v>61000</v>
      </c>
      <c r="L8" s="32">
        <v>0.18</v>
      </c>
      <c r="M8" s="33">
        <f t="shared" si="3"/>
        <v>50020</v>
      </c>
      <c r="N8" s="20">
        <f t="shared" si="4"/>
        <v>732000</v>
      </c>
      <c r="O8" s="21"/>
      <c r="P8" s="21"/>
      <c r="Q8" s="34">
        <f t="shared" si="5"/>
        <v>4</v>
      </c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24">
        <v>7.0</v>
      </c>
      <c r="B9" s="25" t="s">
        <v>34</v>
      </c>
      <c r="C9" s="26" t="s">
        <v>35</v>
      </c>
      <c r="D9" s="27" t="s">
        <v>36</v>
      </c>
      <c r="E9" s="26" t="s">
        <v>37</v>
      </c>
      <c r="F9" s="27">
        <v>12.0</v>
      </c>
      <c r="G9" s="28">
        <v>58.0</v>
      </c>
      <c r="H9" s="24">
        <v>6.0</v>
      </c>
      <c r="I9" s="29">
        <v>64.0</v>
      </c>
      <c r="J9" s="30">
        <f t="shared" si="1"/>
        <v>52.48</v>
      </c>
      <c r="K9" s="31">
        <f t="shared" si="2"/>
        <v>64000</v>
      </c>
      <c r="L9" s="32">
        <v>0.18</v>
      </c>
      <c r="M9" s="33">
        <f t="shared" si="3"/>
        <v>52480</v>
      </c>
      <c r="N9" s="20">
        <f t="shared" si="4"/>
        <v>768000</v>
      </c>
      <c r="O9" s="21"/>
      <c r="P9" s="21"/>
      <c r="Q9" s="34">
        <f t="shared" si="5"/>
        <v>4</v>
      </c>
      <c r="R9" s="13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24">
        <v>8.0</v>
      </c>
      <c r="B10" s="25" t="s">
        <v>38</v>
      </c>
      <c r="C10" s="26" t="s">
        <v>39</v>
      </c>
      <c r="D10" s="27" t="s">
        <v>40</v>
      </c>
      <c r="E10" s="26" t="s">
        <v>41</v>
      </c>
      <c r="F10" s="27">
        <v>12.0</v>
      </c>
      <c r="G10" s="28">
        <v>68.0</v>
      </c>
      <c r="H10" s="24">
        <v>7.0</v>
      </c>
      <c r="I10" s="29">
        <v>75.0</v>
      </c>
      <c r="J10" s="30">
        <f t="shared" si="1"/>
        <v>61.5</v>
      </c>
      <c r="K10" s="31">
        <f t="shared" si="2"/>
        <v>75000</v>
      </c>
      <c r="L10" s="32">
        <v>0.18</v>
      </c>
      <c r="M10" s="33">
        <f t="shared" si="3"/>
        <v>61500</v>
      </c>
      <c r="N10" s="20">
        <f t="shared" si="4"/>
        <v>900000</v>
      </c>
      <c r="O10" s="21"/>
      <c r="P10" s="21"/>
      <c r="Q10" s="34">
        <f t="shared" si="5"/>
        <v>5</v>
      </c>
      <c r="R10" s="13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24">
        <v>9.0</v>
      </c>
      <c r="B11" s="25" t="s">
        <v>42</v>
      </c>
      <c r="C11" s="26" t="s">
        <v>43</v>
      </c>
      <c r="D11" s="27" t="s">
        <v>44</v>
      </c>
      <c r="E11" s="26" t="s">
        <v>45</v>
      </c>
      <c r="F11" s="27">
        <v>10.0</v>
      </c>
      <c r="G11" s="28">
        <v>68.0</v>
      </c>
      <c r="H11" s="24">
        <v>7.0</v>
      </c>
      <c r="I11" s="29">
        <v>75.0</v>
      </c>
      <c r="J11" s="30">
        <f t="shared" si="1"/>
        <v>61.5</v>
      </c>
      <c r="K11" s="31">
        <f t="shared" si="2"/>
        <v>75000</v>
      </c>
      <c r="L11" s="32">
        <v>0.18</v>
      </c>
      <c r="M11" s="33">
        <f t="shared" si="3"/>
        <v>61500</v>
      </c>
      <c r="N11" s="20">
        <f t="shared" si="4"/>
        <v>750000</v>
      </c>
      <c r="O11" s="21"/>
      <c r="P11" s="21"/>
      <c r="Q11" s="34">
        <f t="shared" si="5"/>
        <v>5</v>
      </c>
      <c r="R11" s="13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24">
        <v>10.0</v>
      </c>
      <c r="B12" s="25" t="s">
        <v>46</v>
      </c>
      <c r="C12" s="26" t="s">
        <v>47</v>
      </c>
      <c r="D12" s="27" t="s">
        <v>48</v>
      </c>
      <c r="E12" s="26" t="s">
        <v>37</v>
      </c>
      <c r="F12" s="27">
        <v>12.0</v>
      </c>
      <c r="G12" s="28">
        <v>61.0</v>
      </c>
      <c r="H12" s="24">
        <v>6.0</v>
      </c>
      <c r="I12" s="29">
        <v>67.0</v>
      </c>
      <c r="J12" s="30">
        <f t="shared" si="1"/>
        <v>54.94</v>
      </c>
      <c r="K12" s="31">
        <f t="shared" si="2"/>
        <v>67000</v>
      </c>
      <c r="L12" s="32">
        <v>0.18</v>
      </c>
      <c r="M12" s="33">
        <f t="shared" si="3"/>
        <v>54940</v>
      </c>
      <c r="N12" s="20">
        <f t="shared" si="4"/>
        <v>804000</v>
      </c>
      <c r="O12" s="21"/>
      <c r="P12" s="21"/>
      <c r="Q12" s="34">
        <f t="shared" si="5"/>
        <v>4</v>
      </c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24">
        <v>11.0</v>
      </c>
      <c r="B13" s="25" t="s">
        <v>49</v>
      </c>
      <c r="C13" s="26" t="s">
        <v>50</v>
      </c>
      <c r="D13" s="27" t="s">
        <v>51</v>
      </c>
      <c r="E13" s="26" t="s">
        <v>52</v>
      </c>
      <c r="F13" s="27">
        <v>18.0</v>
      </c>
      <c r="G13" s="28">
        <v>55.0</v>
      </c>
      <c r="H13" s="24">
        <v>6.0</v>
      </c>
      <c r="I13" s="29">
        <v>61.0</v>
      </c>
      <c r="J13" s="30">
        <f t="shared" si="1"/>
        <v>50.02</v>
      </c>
      <c r="K13" s="31">
        <f t="shared" si="2"/>
        <v>61000</v>
      </c>
      <c r="L13" s="32">
        <v>0.18</v>
      </c>
      <c r="M13" s="33">
        <f t="shared" si="3"/>
        <v>50020</v>
      </c>
      <c r="N13" s="20">
        <f t="shared" si="4"/>
        <v>1098000</v>
      </c>
      <c r="O13" s="21"/>
      <c r="P13" s="21"/>
      <c r="Q13" s="34">
        <f t="shared" si="5"/>
        <v>4</v>
      </c>
      <c r="R13" s="13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24">
        <v>12.0</v>
      </c>
      <c r="B14" s="25" t="s">
        <v>53</v>
      </c>
      <c r="C14" s="26" t="s">
        <v>54</v>
      </c>
      <c r="D14" s="27" t="s">
        <v>51</v>
      </c>
      <c r="E14" s="26" t="s">
        <v>55</v>
      </c>
      <c r="F14" s="27">
        <v>18.0</v>
      </c>
      <c r="G14" s="28">
        <v>73.0</v>
      </c>
      <c r="H14" s="24">
        <v>7.0</v>
      </c>
      <c r="I14" s="29">
        <v>80.0</v>
      </c>
      <c r="J14" s="30">
        <f t="shared" si="1"/>
        <v>65.6</v>
      </c>
      <c r="K14" s="31">
        <f t="shared" si="2"/>
        <v>80000</v>
      </c>
      <c r="L14" s="32">
        <v>0.18</v>
      </c>
      <c r="M14" s="33">
        <f t="shared" si="3"/>
        <v>65600</v>
      </c>
      <c r="N14" s="20">
        <f t="shared" si="4"/>
        <v>1440000</v>
      </c>
      <c r="O14" s="21"/>
      <c r="P14" s="21"/>
      <c r="Q14" s="34">
        <f t="shared" si="5"/>
        <v>5</v>
      </c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24">
        <v>13.0</v>
      </c>
      <c r="B15" s="25" t="s">
        <v>56</v>
      </c>
      <c r="C15" s="26" t="s">
        <v>57</v>
      </c>
      <c r="D15" s="27" t="s">
        <v>40</v>
      </c>
      <c r="E15" s="26" t="s">
        <v>52</v>
      </c>
      <c r="F15" s="27">
        <v>12.0</v>
      </c>
      <c r="G15" s="28">
        <v>73.0</v>
      </c>
      <c r="H15" s="24">
        <v>7.0</v>
      </c>
      <c r="I15" s="29">
        <v>80.0</v>
      </c>
      <c r="J15" s="30">
        <f t="shared" si="1"/>
        <v>65.6</v>
      </c>
      <c r="K15" s="31">
        <f t="shared" si="2"/>
        <v>80000</v>
      </c>
      <c r="L15" s="32">
        <v>0.18</v>
      </c>
      <c r="M15" s="33">
        <f t="shared" si="3"/>
        <v>65600</v>
      </c>
      <c r="N15" s="20">
        <f t="shared" si="4"/>
        <v>960000</v>
      </c>
      <c r="O15" s="21"/>
      <c r="P15" s="21"/>
      <c r="Q15" s="34">
        <f t="shared" si="5"/>
        <v>5</v>
      </c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24">
        <v>14.0</v>
      </c>
      <c r="B16" s="25" t="s">
        <v>58</v>
      </c>
      <c r="C16" s="26" t="s">
        <v>59</v>
      </c>
      <c r="D16" s="27" t="s">
        <v>60</v>
      </c>
      <c r="E16" s="26" t="s">
        <v>61</v>
      </c>
      <c r="F16" s="27">
        <v>12.0</v>
      </c>
      <c r="G16" s="28">
        <v>73.0</v>
      </c>
      <c r="H16" s="24">
        <v>7.0</v>
      </c>
      <c r="I16" s="29">
        <v>80.0</v>
      </c>
      <c r="J16" s="30">
        <f t="shared" si="1"/>
        <v>65.6</v>
      </c>
      <c r="K16" s="31">
        <f t="shared" si="2"/>
        <v>80000</v>
      </c>
      <c r="L16" s="32">
        <v>0.18</v>
      </c>
      <c r="M16" s="33">
        <f t="shared" si="3"/>
        <v>65600</v>
      </c>
      <c r="N16" s="20">
        <f t="shared" si="4"/>
        <v>960000</v>
      </c>
      <c r="O16" s="21"/>
      <c r="P16" s="21"/>
      <c r="Q16" s="34">
        <f t="shared" si="5"/>
        <v>5</v>
      </c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24">
        <v>15.0</v>
      </c>
      <c r="B17" s="25" t="s">
        <v>62</v>
      </c>
      <c r="C17" s="26" t="s">
        <v>63</v>
      </c>
      <c r="D17" s="27" t="s">
        <v>64</v>
      </c>
      <c r="E17" s="26" t="s">
        <v>65</v>
      </c>
      <c r="F17" s="27">
        <v>10.0</v>
      </c>
      <c r="G17" s="28">
        <v>93.0</v>
      </c>
      <c r="H17" s="24">
        <v>9.0</v>
      </c>
      <c r="I17" s="29">
        <v>102.0</v>
      </c>
      <c r="J17" s="30">
        <f t="shared" si="1"/>
        <v>83.64</v>
      </c>
      <c r="K17" s="31">
        <f t="shared" si="2"/>
        <v>102000</v>
      </c>
      <c r="L17" s="32">
        <v>0.18</v>
      </c>
      <c r="M17" s="33">
        <f t="shared" si="3"/>
        <v>83640</v>
      </c>
      <c r="N17" s="20">
        <f t="shared" si="4"/>
        <v>1020000</v>
      </c>
      <c r="O17" s="21"/>
      <c r="P17" s="21"/>
      <c r="Q17" s="34">
        <f t="shared" si="5"/>
        <v>6</v>
      </c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24">
        <v>16.0</v>
      </c>
      <c r="B18" s="25" t="s">
        <v>66</v>
      </c>
      <c r="C18" s="26" t="s">
        <v>67</v>
      </c>
      <c r="D18" s="27" t="s">
        <v>64</v>
      </c>
      <c r="E18" s="26" t="s">
        <v>68</v>
      </c>
      <c r="F18" s="27">
        <v>10.0</v>
      </c>
      <c r="G18" s="28">
        <v>94.0</v>
      </c>
      <c r="H18" s="24">
        <v>9.0</v>
      </c>
      <c r="I18" s="29">
        <v>103.0</v>
      </c>
      <c r="J18" s="30">
        <f t="shared" si="1"/>
        <v>84.46</v>
      </c>
      <c r="K18" s="31">
        <f t="shared" si="2"/>
        <v>103000</v>
      </c>
      <c r="L18" s="32">
        <v>0.18</v>
      </c>
      <c r="M18" s="33">
        <f t="shared" si="3"/>
        <v>84460</v>
      </c>
      <c r="N18" s="20">
        <f t="shared" si="4"/>
        <v>1030000</v>
      </c>
      <c r="O18" s="21"/>
      <c r="P18" s="21"/>
      <c r="Q18" s="34">
        <f t="shared" si="5"/>
        <v>7</v>
      </c>
      <c r="R18" s="13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24">
        <v>17.0</v>
      </c>
      <c r="B19" s="25" t="s">
        <v>69</v>
      </c>
      <c r="C19" s="26" t="s">
        <v>70</v>
      </c>
      <c r="D19" s="27" t="s">
        <v>71</v>
      </c>
      <c r="E19" s="26" t="s">
        <v>72</v>
      </c>
      <c r="F19" s="27">
        <v>10.0</v>
      </c>
      <c r="G19" s="28">
        <v>90.0</v>
      </c>
      <c r="H19" s="24">
        <v>9.0</v>
      </c>
      <c r="I19" s="29">
        <v>99.0</v>
      </c>
      <c r="J19" s="30">
        <f t="shared" si="1"/>
        <v>81.18</v>
      </c>
      <c r="K19" s="31">
        <f t="shared" si="2"/>
        <v>99000</v>
      </c>
      <c r="L19" s="32">
        <v>0.18</v>
      </c>
      <c r="M19" s="33">
        <f t="shared" si="3"/>
        <v>81180</v>
      </c>
      <c r="N19" s="20">
        <f t="shared" si="4"/>
        <v>990000</v>
      </c>
      <c r="O19" s="21"/>
      <c r="P19" s="21"/>
      <c r="Q19" s="34">
        <f t="shared" si="5"/>
        <v>6</v>
      </c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24">
        <v>18.0</v>
      </c>
      <c r="B20" s="25" t="s">
        <v>73</v>
      </c>
      <c r="C20" s="26" t="s">
        <v>74</v>
      </c>
      <c r="D20" s="27" t="s">
        <v>75</v>
      </c>
      <c r="E20" s="26" t="s">
        <v>76</v>
      </c>
      <c r="F20" s="27">
        <v>12.0</v>
      </c>
      <c r="G20" s="28">
        <v>100.0</v>
      </c>
      <c r="H20" s="24">
        <v>10.0</v>
      </c>
      <c r="I20" s="29">
        <v>110.0</v>
      </c>
      <c r="J20" s="30">
        <f t="shared" si="1"/>
        <v>90.2</v>
      </c>
      <c r="K20" s="31">
        <f t="shared" si="2"/>
        <v>110000</v>
      </c>
      <c r="L20" s="32">
        <v>0.18</v>
      </c>
      <c r="M20" s="33">
        <f t="shared" si="3"/>
        <v>90200</v>
      </c>
      <c r="N20" s="20">
        <f t="shared" si="4"/>
        <v>1320000</v>
      </c>
      <c r="O20" s="21"/>
      <c r="P20" s="21"/>
      <c r="Q20" s="34">
        <f t="shared" si="5"/>
        <v>7</v>
      </c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24">
        <v>19.0</v>
      </c>
      <c r="B21" s="25" t="s">
        <v>77</v>
      </c>
      <c r="C21" s="26" t="s">
        <v>78</v>
      </c>
      <c r="D21" s="27" t="s">
        <v>24</v>
      </c>
      <c r="E21" s="26" t="s">
        <v>76</v>
      </c>
      <c r="F21" s="27">
        <v>12.0</v>
      </c>
      <c r="G21" s="28">
        <v>105.0</v>
      </c>
      <c r="H21" s="24">
        <v>11.0</v>
      </c>
      <c r="I21" s="29">
        <v>116.0</v>
      </c>
      <c r="J21" s="30">
        <f t="shared" si="1"/>
        <v>95.12</v>
      </c>
      <c r="K21" s="31">
        <f t="shared" si="2"/>
        <v>116000</v>
      </c>
      <c r="L21" s="32">
        <v>0.18</v>
      </c>
      <c r="M21" s="33">
        <f t="shared" si="3"/>
        <v>95120</v>
      </c>
      <c r="N21" s="20">
        <f t="shared" si="4"/>
        <v>1392000</v>
      </c>
      <c r="O21" s="21"/>
      <c r="P21" s="21"/>
      <c r="Q21" s="34">
        <f t="shared" si="5"/>
        <v>7</v>
      </c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24">
        <v>20.0</v>
      </c>
      <c r="B22" s="25" t="s">
        <v>79</v>
      </c>
      <c r="C22" s="26" t="s">
        <v>80</v>
      </c>
      <c r="D22" s="27" t="s">
        <v>24</v>
      </c>
      <c r="E22" s="26" t="s">
        <v>76</v>
      </c>
      <c r="F22" s="27">
        <v>10.0</v>
      </c>
      <c r="G22" s="28">
        <v>110.0</v>
      </c>
      <c r="H22" s="24">
        <v>11.0</v>
      </c>
      <c r="I22" s="29">
        <v>121.0</v>
      </c>
      <c r="J22" s="30">
        <f t="shared" si="1"/>
        <v>99.22</v>
      </c>
      <c r="K22" s="31">
        <f t="shared" si="2"/>
        <v>121000</v>
      </c>
      <c r="L22" s="32">
        <v>0.18</v>
      </c>
      <c r="M22" s="33">
        <f t="shared" si="3"/>
        <v>99220</v>
      </c>
      <c r="N22" s="20">
        <f t="shared" si="4"/>
        <v>1210000</v>
      </c>
      <c r="O22" s="21"/>
      <c r="P22" s="21"/>
      <c r="Q22" s="34">
        <f t="shared" si="5"/>
        <v>8</v>
      </c>
      <c r="R22" s="13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24">
        <v>21.0</v>
      </c>
      <c r="B23" s="25" t="s">
        <v>81</v>
      </c>
      <c r="C23" s="26" t="s">
        <v>82</v>
      </c>
      <c r="D23" s="27" t="s">
        <v>71</v>
      </c>
      <c r="E23" s="26" t="s">
        <v>65</v>
      </c>
      <c r="F23" s="27">
        <v>10.0</v>
      </c>
      <c r="G23" s="28">
        <v>103.0</v>
      </c>
      <c r="H23" s="24">
        <v>10.0</v>
      </c>
      <c r="I23" s="29">
        <v>113.0</v>
      </c>
      <c r="J23" s="30">
        <f t="shared" si="1"/>
        <v>92.66</v>
      </c>
      <c r="K23" s="31">
        <f t="shared" si="2"/>
        <v>113000</v>
      </c>
      <c r="L23" s="32">
        <v>0.18</v>
      </c>
      <c r="M23" s="33">
        <f t="shared" si="3"/>
        <v>92660</v>
      </c>
      <c r="N23" s="20">
        <f t="shared" si="4"/>
        <v>1130000</v>
      </c>
      <c r="O23" s="21"/>
      <c r="P23" s="21"/>
      <c r="Q23" s="34">
        <f t="shared" si="5"/>
        <v>7</v>
      </c>
      <c r="R23" s="13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24">
        <v>22.0</v>
      </c>
      <c r="B24" s="25" t="s">
        <v>83</v>
      </c>
      <c r="C24" s="26" t="s">
        <v>82</v>
      </c>
      <c r="D24" s="27" t="s">
        <v>84</v>
      </c>
      <c r="E24" s="26" t="s">
        <v>85</v>
      </c>
      <c r="F24" s="27">
        <v>10.0</v>
      </c>
      <c r="G24" s="28">
        <v>104.0</v>
      </c>
      <c r="H24" s="24">
        <v>10.0</v>
      </c>
      <c r="I24" s="29">
        <v>114.0</v>
      </c>
      <c r="J24" s="30">
        <f t="shared" si="1"/>
        <v>93.48</v>
      </c>
      <c r="K24" s="31">
        <f t="shared" si="2"/>
        <v>114000</v>
      </c>
      <c r="L24" s="32">
        <v>0.18</v>
      </c>
      <c r="M24" s="33">
        <f t="shared" si="3"/>
        <v>93480</v>
      </c>
      <c r="N24" s="20">
        <f t="shared" si="4"/>
        <v>1140000</v>
      </c>
      <c r="O24" s="21"/>
      <c r="P24" s="21"/>
      <c r="Q24" s="34">
        <f t="shared" si="5"/>
        <v>7</v>
      </c>
      <c r="R24" s="13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24">
        <v>23.0</v>
      </c>
      <c r="B25" s="25" t="s">
        <v>86</v>
      </c>
      <c r="C25" s="26" t="s">
        <v>87</v>
      </c>
      <c r="D25" s="27" t="s">
        <v>71</v>
      </c>
      <c r="E25" s="26" t="s">
        <v>88</v>
      </c>
      <c r="F25" s="27">
        <v>10.0</v>
      </c>
      <c r="G25" s="28">
        <v>103.0</v>
      </c>
      <c r="H25" s="24">
        <v>10.0</v>
      </c>
      <c r="I25" s="29">
        <v>113.0</v>
      </c>
      <c r="J25" s="30">
        <f t="shared" si="1"/>
        <v>92.66</v>
      </c>
      <c r="K25" s="31">
        <f t="shared" si="2"/>
        <v>113000</v>
      </c>
      <c r="L25" s="32">
        <v>0.18</v>
      </c>
      <c r="M25" s="33">
        <f t="shared" si="3"/>
        <v>92660</v>
      </c>
      <c r="N25" s="20">
        <f t="shared" si="4"/>
        <v>1130000</v>
      </c>
      <c r="O25" s="21"/>
      <c r="P25" s="21"/>
      <c r="Q25" s="34">
        <f t="shared" si="5"/>
        <v>7</v>
      </c>
      <c r="R25" s="13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24">
        <v>24.0</v>
      </c>
      <c r="B26" s="25" t="s">
        <v>89</v>
      </c>
      <c r="C26" s="26" t="s">
        <v>90</v>
      </c>
      <c r="D26" s="27" t="s">
        <v>64</v>
      </c>
      <c r="E26" s="26" t="s">
        <v>65</v>
      </c>
      <c r="F26" s="27">
        <v>10.0</v>
      </c>
      <c r="G26" s="28">
        <v>115.0</v>
      </c>
      <c r="H26" s="24">
        <v>12.0</v>
      </c>
      <c r="I26" s="29">
        <v>127.0</v>
      </c>
      <c r="J26" s="30">
        <f t="shared" si="1"/>
        <v>104.14</v>
      </c>
      <c r="K26" s="31">
        <f t="shared" si="2"/>
        <v>127000</v>
      </c>
      <c r="L26" s="32">
        <v>0.18</v>
      </c>
      <c r="M26" s="33">
        <f t="shared" si="3"/>
        <v>104140</v>
      </c>
      <c r="N26" s="20">
        <f t="shared" si="4"/>
        <v>1270000</v>
      </c>
      <c r="O26" s="21"/>
      <c r="P26" s="21"/>
      <c r="Q26" s="34">
        <f t="shared" si="5"/>
        <v>8</v>
      </c>
      <c r="R26" s="13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24">
        <v>25.0</v>
      </c>
      <c r="B27" s="25" t="s">
        <v>91</v>
      </c>
      <c r="C27" s="26" t="s">
        <v>92</v>
      </c>
      <c r="D27" s="27" t="s">
        <v>64</v>
      </c>
      <c r="E27" s="26" t="s">
        <v>93</v>
      </c>
      <c r="F27" s="27">
        <v>10.0</v>
      </c>
      <c r="G27" s="28">
        <v>120.0</v>
      </c>
      <c r="H27" s="24">
        <v>12.0</v>
      </c>
      <c r="I27" s="29">
        <v>132.0</v>
      </c>
      <c r="J27" s="30">
        <f t="shared" si="1"/>
        <v>108.24</v>
      </c>
      <c r="K27" s="31">
        <f t="shared" si="2"/>
        <v>132000</v>
      </c>
      <c r="L27" s="32">
        <v>0.18</v>
      </c>
      <c r="M27" s="33">
        <f t="shared" si="3"/>
        <v>108240</v>
      </c>
      <c r="N27" s="20">
        <f t="shared" si="4"/>
        <v>1320000</v>
      </c>
      <c r="O27" s="21"/>
      <c r="P27" s="21"/>
      <c r="Q27" s="34">
        <f t="shared" si="5"/>
        <v>8</v>
      </c>
      <c r="R27" s="13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24">
        <v>26.0</v>
      </c>
      <c r="B28" s="25" t="s">
        <v>94</v>
      </c>
      <c r="C28" s="26" t="s">
        <v>95</v>
      </c>
      <c r="D28" s="27" t="s">
        <v>71</v>
      </c>
      <c r="E28" s="26" t="s">
        <v>93</v>
      </c>
      <c r="F28" s="27">
        <v>10.0</v>
      </c>
      <c r="G28" s="28">
        <v>122.0</v>
      </c>
      <c r="H28" s="24">
        <v>12.0</v>
      </c>
      <c r="I28" s="29">
        <v>134.0</v>
      </c>
      <c r="J28" s="30">
        <f t="shared" si="1"/>
        <v>109.88</v>
      </c>
      <c r="K28" s="31">
        <f t="shared" si="2"/>
        <v>134000</v>
      </c>
      <c r="L28" s="32">
        <v>0.18</v>
      </c>
      <c r="M28" s="33">
        <f t="shared" si="3"/>
        <v>109880</v>
      </c>
      <c r="N28" s="20">
        <f t="shared" si="4"/>
        <v>1340000</v>
      </c>
      <c r="O28" s="21"/>
      <c r="P28" s="21"/>
      <c r="Q28" s="34">
        <f t="shared" si="5"/>
        <v>8</v>
      </c>
      <c r="R28" s="13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24">
        <v>27.0</v>
      </c>
      <c r="B29" s="25" t="s">
        <v>96</v>
      </c>
      <c r="C29" s="26" t="s">
        <v>97</v>
      </c>
      <c r="D29" s="27" t="s">
        <v>31</v>
      </c>
      <c r="E29" s="26" t="s">
        <v>98</v>
      </c>
      <c r="F29" s="27">
        <v>10.0</v>
      </c>
      <c r="G29" s="28">
        <v>125.0</v>
      </c>
      <c r="H29" s="24">
        <v>13.0</v>
      </c>
      <c r="I29" s="29">
        <v>138.0</v>
      </c>
      <c r="J29" s="30">
        <f t="shared" si="1"/>
        <v>113.16</v>
      </c>
      <c r="K29" s="31">
        <f t="shared" si="2"/>
        <v>138000</v>
      </c>
      <c r="L29" s="32">
        <v>0.18</v>
      </c>
      <c r="M29" s="33">
        <f t="shared" si="3"/>
        <v>113160</v>
      </c>
      <c r="N29" s="20">
        <f t="shared" si="4"/>
        <v>1380000</v>
      </c>
      <c r="O29" s="21"/>
      <c r="P29" s="21"/>
      <c r="Q29" s="34">
        <f t="shared" si="5"/>
        <v>9</v>
      </c>
      <c r="R29" s="13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24">
        <v>28.0</v>
      </c>
      <c r="B30" s="25" t="s">
        <v>99</v>
      </c>
      <c r="C30" s="26" t="s">
        <v>100</v>
      </c>
      <c r="D30" s="27" t="s">
        <v>31</v>
      </c>
      <c r="E30" s="26" t="s">
        <v>101</v>
      </c>
      <c r="F30" s="27">
        <v>6.0</v>
      </c>
      <c r="G30" s="28">
        <v>140.0</v>
      </c>
      <c r="H30" s="24">
        <v>14.0</v>
      </c>
      <c r="I30" s="29">
        <v>154.0</v>
      </c>
      <c r="J30" s="30">
        <f t="shared" si="1"/>
        <v>126.28</v>
      </c>
      <c r="K30" s="31">
        <f t="shared" si="2"/>
        <v>154000</v>
      </c>
      <c r="L30" s="32">
        <v>0.18</v>
      </c>
      <c r="M30" s="33">
        <f t="shared" si="3"/>
        <v>126280</v>
      </c>
      <c r="N30" s="20">
        <f t="shared" si="4"/>
        <v>924000</v>
      </c>
      <c r="O30" s="21"/>
      <c r="P30" s="21"/>
      <c r="Q30" s="34">
        <f t="shared" si="5"/>
        <v>10</v>
      </c>
      <c r="R30" s="13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5" t="s">
        <v>102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  <c r="R31" s="35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" t="s">
        <v>0</v>
      </c>
      <c r="B32" s="2" t="s">
        <v>103</v>
      </c>
      <c r="C32" s="2" t="s">
        <v>1</v>
      </c>
      <c r="D32" s="1" t="s">
        <v>2</v>
      </c>
      <c r="E32" s="3" t="s">
        <v>3</v>
      </c>
      <c r="F32" s="1" t="s">
        <v>4</v>
      </c>
      <c r="G32" s="28"/>
      <c r="H32" s="24"/>
      <c r="I32" s="29"/>
      <c r="J32" s="30"/>
      <c r="K32" s="1" t="s">
        <v>104</v>
      </c>
      <c r="L32" s="33"/>
      <c r="M32" s="33"/>
      <c r="N32" s="20"/>
      <c r="O32" s="21"/>
      <c r="P32" s="21"/>
      <c r="Q32" s="34"/>
      <c r="R32" s="35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24">
        <v>1.0</v>
      </c>
      <c r="B33" s="25" t="s">
        <v>105</v>
      </c>
      <c r="C33" s="26" t="s">
        <v>106</v>
      </c>
      <c r="D33" s="27" t="s">
        <v>31</v>
      </c>
      <c r="E33" s="26" t="s">
        <v>107</v>
      </c>
      <c r="F33" s="27">
        <v>6.0</v>
      </c>
      <c r="G33" s="28">
        <v>220.0</v>
      </c>
      <c r="H33" s="24">
        <v>22.0</v>
      </c>
      <c r="I33" s="29">
        <v>242.0</v>
      </c>
      <c r="J33" s="30">
        <f t="shared" ref="J33:J39" si="6">I33-(I33*$J$2)</f>
        <v>198.44</v>
      </c>
      <c r="K33" s="31">
        <f t="shared" ref="K33:K39" si="7">I33*$K$2</f>
        <v>242000</v>
      </c>
      <c r="L33" s="32">
        <v>0.3</v>
      </c>
      <c r="M33" s="33">
        <f t="shared" ref="M33:M39" si="8">K33-(K33*L33)</f>
        <v>169400</v>
      </c>
      <c r="N33" s="20">
        <f t="shared" ref="N33:N39" si="9">K33*F33</f>
        <v>1452000</v>
      </c>
      <c r="O33" s="21"/>
      <c r="P33" s="21"/>
      <c r="Q33" s="34">
        <f t="shared" ref="Q33:Q39" si="10">ROUNDUP(K33/$Q$2,0)</f>
        <v>15</v>
      </c>
      <c r="R33" s="35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24">
        <v>2.0</v>
      </c>
      <c r="B34" s="25" t="s">
        <v>108</v>
      </c>
      <c r="C34" s="26" t="s">
        <v>109</v>
      </c>
      <c r="D34" s="27" t="s">
        <v>31</v>
      </c>
      <c r="E34" s="26" t="s">
        <v>107</v>
      </c>
      <c r="F34" s="27">
        <v>6.0</v>
      </c>
      <c r="G34" s="28">
        <v>230.0</v>
      </c>
      <c r="H34" s="24">
        <v>23.0</v>
      </c>
      <c r="I34" s="29">
        <v>253.0</v>
      </c>
      <c r="J34" s="30">
        <f t="shared" si="6"/>
        <v>207.46</v>
      </c>
      <c r="K34" s="31">
        <f t="shared" si="7"/>
        <v>253000</v>
      </c>
      <c r="L34" s="32">
        <v>0.3</v>
      </c>
      <c r="M34" s="33">
        <f t="shared" si="8"/>
        <v>177100</v>
      </c>
      <c r="N34" s="20">
        <f t="shared" si="9"/>
        <v>1518000</v>
      </c>
      <c r="O34" s="21"/>
      <c r="P34" s="21"/>
      <c r="Q34" s="34">
        <f t="shared" si="10"/>
        <v>15</v>
      </c>
      <c r="R34" s="35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24">
        <v>3.0</v>
      </c>
      <c r="B35" s="25" t="s">
        <v>110</v>
      </c>
      <c r="C35" s="26" t="s">
        <v>111</v>
      </c>
      <c r="D35" s="27" t="s">
        <v>31</v>
      </c>
      <c r="E35" s="26" t="s">
        <v>112</v>
      </c>
      <c r="F35" s="27">
        <v>6.0</v>
      </c>
      <c r="G35" s="28">
        <v>250.0</v>
      </c>
      <c r="H35" s="24">
        <v>25.0</v>
      </c>
      <c r="I35" s="29">
        <v>275.0</v>
      </c>
      <c r="J35" s="30">
        <f t="shared" si="6"/>
        <v>225.5</v>
      </c>
      <c r="K35" s="31">
        <f t="shared" si="7"/>
        <v>275000</v>
      </c>
      <c r="L35" s="32">
        <v>0.3</v>
      </c>
      <c r="M35" s="33">
        <f t="shared" si="8"/>
        <v>192500</v>
      </c>
      <c r="N35" s="20">
        <f t="shared" si="9"/>
        <v>1650000</v>
      </c>
      <c r="O35" s="21"/>
      <c r="P35" s="21"/>
      <c r="Q35" s="34">
        <f t="shared" si="10"/>
        <v>17</v>
      </c>
      <c r="R35" s="35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24">
        <v>4.0</v>
      </c>
      <c r="B36" s="25" t="s">
        <v>113</v>
      </c>
      <c r="C36" s="26" t="s">
        <v>114</v>
      </c>
      <c r="D36" s="27" t="s">
        <v>31</v>
      </c>
      <c r="E36" s="26" t="s">
        <v>115</v>
      </c>
      <c r="F36" s="27">
        <v>6.0</v>
      </c>
      <c r="G36" s="28">
        <v>250.0</v>
      </c>
      <c r="H36" s="24">
        <v>25.0</v>
      </c>
      <c r="I36" s="29">
        <v>275.0</v>
      </c>
      <c r="J36" s="30">
        <f t="shared" si="6"/>
        <v>225.5</v>
      </c>
      <c r="K36" s="31">
        <f t="shared" si="7"/>
        <v>275000</v>
      </c>
      <c r="L36" s="32">
        <v>0.3</v>
      </c>
      <c r="M36" s="33">
        <f t="shared" si="8"/>
        <v>192500</v>
      </c>
      <c r="N36" s="20">
        <f t="shared" si="9"/>
        <v>1650000</v>
      </c>
      <c r="O36" s="21"/>
      <c r="P36" s="21"/>
      <c r="Q36" s="34">
        <f t="shared" si="10"/>
        <v>17</v>
      </c>
      <c r="R36" s="35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24">
        <v>5.0</v>
      </c>
      <c r="B37" s="25" t="s">
        <v>116</v>
      </c>
      <c r="C37" s="26" t="s">
        <v>111</v>
      </c>
      <c r="D37" s="27" t="s">
        <v>117</v>
      </c>
      <c r="E37" s="26" t="s">
        <v>112</v>
      </c>
      <c r="F37" s="27">
        <v>5.0</v>
      </c>
      <c r="G37" s="28">
        <v>255.0</v>
      </c>
      <c r="H37" s="24">
        <v>26.0</v>
      </c>
      <c r="I37" s="29">
        <v>281.0</v>
      </c>
      <c r="J37" s="30">
        <f t="shared" si="6"/>
        <v>230.42</v>
      </c>
      <c r="K37" s="31">
        <f t="shared" si="7"/>
        <v>281000</v>
      </c>
      <c r="L37" s="32">
        <v>0.3</v>
      </c>
      <c r="M37" s="33">
        <f t="shared" si="8"/>
        <v>196700</v>
      </c>
      <c r="N37" s="20">
        <f t="shared" si="9"/>
        <v>1405000</v>
      </c>
      <c r="O37" s="21"/>
      <c r="P37" s="21"/>
      <c r="Q37" s="34">
        <f t="shared" si="10"/>
        <v>17</v>
      </c>
      <c r="R37" s="35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24">
        <v>6.0</v>
      </c>
      <c r="B38" s="25" t="s">
        <v>118</v>
      </c>
      <c r="C38" s="26" t="s">
        <v>119</v>
      </c>
      <c r="D38" s="27" t="s">
        <v>31</v>
      </c>
      <c r="E38" s="26" t="s">
        <v>120</v>
      </c>
      <c r="F38" s="27">
        <v>6.0</v>
      </c>
      <c r="G38" s="28">
        <v>270.0</v>
      </c>
      <c r="H38" s="24">
        <v>27.0</v>
      </c>
      <c r="I38" s="29">
        <v>297.0</v>
      </c>
      <c r="J38" s="30">
        <f t="shared" si="6"/>
        <v>243.54</v>
      </c>
      <c r="K38" s="31">
        <f t="shared" si="7"/>
        <v>297000</v>
      </c>
      <c r="L38" s="32">
        <v>0.3</v>
      </c>
      <c r="M38" s="33">
        <f t="shared" si="8"/>
        <v>207900</v>
      </c>
      <c r="N38" s="20">
        <f t="shared" si="9"/>
        <v>1782000</v>
      </c>
      <c r="O38" s="21"/>
      <c r="P38" s="21"/>
      <c r="Q38" s="34">
        <f t="shared" si="10"/>
        <v>18</v>
      </c>
      <c r="R38" s="35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24">
        <v>7.0</v>
      </c>
      <c r="B39" s="25" t="s">
        <v>121</v>
      </c>
      <c r="C39" s="26" t="s">
        <v>122</v>
      </c>
      <c r="D39" s="27" t="s">
        <v>31</v>
      </c>
      <c r="E39" s="26" t="s">
        <v>120</v>
      </c>
      <c r="F39" s="27">
        <v>6.0</v>
      </c>
      <c r="G39" s="28">
        <v>270.0</v>
      </c>
      <c r="H39" s="24">
        <v>27.0</v>
      </c>
      <c r="I39" s="29">
        <v>297.0</v>
      </c>
      <c r="J39" s="30">
        <f t="shared" si="6"/>
        <v>243.54</v>
      </c>
      <c r="K39" s="31">
        <f t="shared" si="7"/>
        <v>297000</v>
      </c>
      <c r="L39" s="32">
        <v>0.3</v>
      </c>
      <c r="M39" s="33">
        <f t="shared" si="8"/>
        <v>207900</v>
      </c>
      <c r="N39" s="20">
        <f t="shared" si="9"/>
        <v>1782000</v>
      </c>
      <c r="O39" s="21"/>
      <c r="P39" s="21"/>
      <c r="Q39" s="34">
        <f t="shared" si="10"/>
        <v>18</v>
      </c>
      <c r="R39" s="35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5" t="s">
        <v>123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35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24">
        <v>1.0</v>
      </c>
      <c r="B41" s="25" t="s">
        <v>124</v>
      </c>
      <c r="C41" s="26" t="s">
        <v>125</v>
      </c>
      <c r="D41" s="27" t="s">
        <v>44</v>
      </c>
      <c r="E41" s="26" t="s">
        <v>37</v>
      </c>
      <c r="F41" s="27">
        <v>12.0</v>
      </c>
      <c r="G41" s="28">
        <v>56.0</v>
      </c>
      <c r="H41" s="24">
        <v>6.0</v>
      </c>
      <c r="I41" s="29">
        <v>62.0</v>
      </c>
      <c r="J41" s="30">
        <f t="shared" ref="J41:J55" si="11">I41-(I41*$J$2)</f>
        <v>50.84</v>
      </c>
      <c r="K41" s="31">
        <f t="shared" ref="K41:K55" si="12">I41*$K$2</f>
        <v>62000</v>
      </c>
      <c r="L41" s="32">
        <v>0.18</v>
      </c>
      <c r="M41" s="33">
        <f>K41-(K41*L41)</f>
        <v>50840</v>
      </c>
      <c r="N41" s="20">
        <f t="shared" ref="N41:N55" si="13">K41*F41</f>
        <v>744000</v>
      </c>
      <c r="O41" s="21"/>
      <c r="P41" s="21"/>
      <c r="Q41" s="34">
        <f t="shared" ref="Q41:Q55" si="14">ROUNDUP(K41/$Q$2,0)</f>
        <v>4</v>
      </c>
      <c r="R41" s="35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24">
        <v>2.0</v>
      </c>
      <c r="B42" s="25" t="s">
        <v>126</v>
      </c>
      <c r="C42" s="26" t="s">
        <v>127</v>
      </c>
      <c r="D42" s="27" t="s">
        <v>44</v>
      </c>
      <c r="E42" s="26" t="s">
        <v>45</v>
      </c>
      <c r="F42" s="27">
        <v>10.0</v>
      </c>
      <c r="G42" s="28">
        <v>65.0</v>
      </c>
      <c r="H42" s="24">
        <v>7.0</v>
      </c>
      <c r="I42" s="29">
        <v>72.0</v>
      </c>
      <c r="J42" s="30">
        <f t="shared" si="11"/>
        <v>59.04</v>
      </c>
      <c r="K42" s="31">
        <f t="shared" si="12"/>
        <v>72000</v>
      </c>
      <c r="L42" s="32">
        <v>0.18</v>
      </c>
      <c r="M42" s="33">
        <f t="shared" ref="M42:M55" si="15">K42-(K42*M$2)</f>
        <v>59040</v>
      </c>
      <c r="N42" s="20">
        <f t="shared" si="13"/>
        <v>720000</v>
      </c>
      <c r="O42" s="21"/>
      <c r="P42" s="21"/>
      <c r="Q42" s="34">
        <f t="shared" si="14"/>
        <v>5</v>
      </c>
      <c r="R42" s="35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24">
        <v>3.0</v>
      </c>
      <c r="B43" s="25" t="s">
        <v>128</v>
      </c>
      <c r="C43" s="26" t="s">
        <v>129</v>
      </c>
      <c r="D43" s="27" t="s">
        <v>130</v>
      </c>
      <c r="E43" s="26" t="s">
        <v>131</v>
      </c>
      <c r="F43" s="27">
        <v>10.0</v>
      </c>
      <c r="G43" s="28">
        <v>84.0</v>
      </c>
      <c r="H43" s="24">
        <v>8.0</v>
      </c>
      <c r="I43" s="29">
        <v>92.0</v>
      </c>
      <c r="J43" s="30">
        <f t="shared" si="11"/>
        <v>75.44</v>
      </c>
      <c r="K43" s="31">
        <f t="shared" si="12"/>
        <v>92000</v>
      </c>
      <c r="L43" s="32">
        <v>0.18</v>
      </c>
      <c r="M43" s="33">
        <f t="shared" si="15"/>
        <v>75440</v>
      </c>
      <c r="N43" s="20">
        <f t="shared" si="13"/>
        <v>920000</v>
      </c>
      <c r="O43" s="21"/>
      <c r="P43" s="21"/>
      <c r="Q43" s="34">
        <f t="shared" si="14"/>
        <v>6</v>
      </c>
      <c r="R43" s="35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24">
        <v>4.0</v>
      </c>
      <c r="B44" s="25" t="s">
        <v>132</v>
      </c>
      <c r="C44" s="26" t="s">
        <v>133</v>
      </c>
      <c r="D44" s="27" t="s">
        <v>71</v>
      </c>
      <c r="E44" s="26" t="s">
        <v>134</v>
      </c>
      <c r="F44" s="27">
        <v>10.0</v>
      </c>
      <c r="G44" s="28">
        <v>89.0</v>
      </c>
      <c r="H44" s="24">
        <v>9.0</v>
      </c>
      <c r="I44" s="29">
        <v>98.0</v>
      </c>
      <c r="J44" s="30">
        <f t="shared" si="11"/>
        <v>80.36</v>
      </c>
      <c r="K44" s="31">
        <f t="shared" si="12"/>
        <v>98000</v>
      </c>
      <c r="L44" s="32">
        <v>0.18</v>
      </c>
      <c r="M44" s="33">
        <f t="shared" si="15"/>
        <v>80360</v>
      </c>
      <c r="N44" s="20">
        <f t="shared" si="13"/>
        <v>980000</v>
      </c>
      <c r="O44" s="21"/>
      <c r="P44" s="21"/>
      <c r="Q44" s="34">
        <f t="shared" si="14"/>
        <v>6</v>
      </c>
      <c r="R44" s="35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24">
        <v>5.0</v>
      </c>
      <c r="B45" s="25" t="s">
        <v>135</v>
      </c>
      <c r="C45" s="26" t="s">
        <v>136</v>
      </c>
      <c r="D45" s="27" t="s">
        <v>40</v>
      </c>
      <c r="E45" s="26" t="s">
        <v>137</v>
      </c>
      <c r="F45" s="27">
        <v>12.0</v>
      </c>
      <c r="G45" s="28">
        <v>65.0</v>
      </c>
      <c r="H45" s="24">
        <v>7.0</v>
      </c>
      <c r="I45" s="29">
        <v>72.0</v>
      </c>
      <c r="J45" s="30">
        <f t="shared" si="11"/>
        <v>59.04</v>
      </c>
      <c r="K45" s="31">
        <f t="shared" si="12"/>
        <v>72000</v>
      </c>
      <c r="L45" s="32">
        <v>0.18</v>
      </c>
      <c r="M45" s="33">
        <f t="shared" si="15"/>
        <v>59040</v>
      </c>
      <c r="N45" s="20">
        <f t="shared" si="13"/>
        <v>864000</v>
      </c>
      <c r="O45" s="21"/>
      <c r="P45" s="21"/>
      <c r="Q45" s="34">
        <f t="shared" si="14"/>
        <v>5</v>
      </c>
      <c r="R45" s="35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24">
        <v>6.0</v>
      </c>
      <c r="B46" s="25" t="s">
        <v>138</v>
      </c>
      <c r="C46" s="26" t="s">
        <v>139</v>
      </c>
      <c r="D46" s="27" t="s">
        <v>40</v>
      </c>
      <c r="E46" s="26" t="s">
        <v>140</v>
      </c>
      <c r="F46" s="27">
        <v>12.0</v>
      </c>
      <c r="G46" s="28">
        <v>60.0</v>
      </c>
      <c r="H46" s="24">
        <v>23.0</v>
      </c>
      <c r="I46" s="29">
        <v>83.0</v>
      </c>
      <c r="J46" s="30">
        <f t="shared" si="11"/>
        <v>68.06</v>
      </c>
      <c r="K46" s="31">
        <f t="shared" si="12"/>
        <v>83000</v>
      </c>
      <c r="L46" s="32">
        <v>0.18</v>
      </c>
      <c r="M46" s="33">
        <f t="shared" si="15"/>
        <v>68060</v>
      </c>
      <c r="N46" s="20">
        <f t="shared" si="13"/>
        <v>996000</v>
      </c>
      <c r="O46" s="21"/>
      <c r="P46" s="21"/>
      <c r="Q46" s="34">
        <f t="shared" si="14"/>
        <v>5</v>
      </c>
      <c r="R46" s="35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24">
        <v>7.0</v>
      </c>
      <c r="B47" s="25" t="s">
        <v>141</v>
      </c>
      <c r="C47" s="26" t="s">
        <v>142</v>
      </c>
      <c r="D47" s="27" t="s">
        <v>130</v>
      </c>
      <c r="E47" s="26" t="s">
        <v>143</v>
      </c>
      <c r="F47" s="27">
        <v>12.0</v>
      </c>
      <c r="G47" s="28">
        <v>95.0</v>
      </c>
      <c r="H47" s="24">
        <v>10.0</v>
      </c>
      <c r="I47" s="29">
        <v>105.0</v>
      </c>
      <c r="J47" s="30">
        <f t="shared" si="11"/>
        <v>86.1</v>
      </c>
      <c r="K47" s="31">
        <f t="shared" si="12"/>
        <v>105000</v>
      </c>
      <c r="L47" s="32">
        <v>0.18</v>
      </c>
      <c r="M47" s="33">
        <f t="shared" si="15"/>
        <v>86100</v>
      </c>
      <c r="N47" s="20">
        <f t="shared" si="13"/>
        <v>1260000</v>
      </c>
      <c r="O47" s="21"/>
      <c r="P47" s="21"/>
      <c r="Q47" s="34">
        <f t="shared" si="14"/>
        <v>7</v>
      </c>
      <c r="R47" s="35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24">
        <v>8.0</v>
      </c>
      <c r="B48" s="25" t="s">
        <v>144</v>
      </c>
      <c r="C48" s="26" t="s">
        <v>145</v>
      </c>
      <c r="D48" s="27" t="s">
        <v>130</v>
      </c>
      <c r="E48" s="26" t="s">
        <v>146</v>
      </c>
      <c r="F48" s="27">
        <v>10.0</v>
      </c>
      <c r="G48" s="28">
        <v>90.0</v>
      </c>
      <c r="H48" s="24">
        <v>9.0</v>
      </c>
      <c r="I48" s="29">
        <v>99.0</v>
      </c>
      <c r="J48" s="30">
        <f t="shared" si="11"/>
        <v>81.18</v>
      </c>
      <c r="K48" s="31">
        <f t="shared" si="12"/>
        <v>99000</v>
      </c>
      <c r="L48" s="32">
        <v>0.18</v>
      </c>
      <c r="M48" s="33">
        <f t="shared" si="15"/>
        <v>81180</v>
      </c>
      <c r="N48" s="20">
        <f t="shared" si="13"/>
        <v>990000</v>
      </c>
      <c r="O48" s="21"/>
      <c r="P48" s="21"/>
      <c r="Q48" s="34">
        <f t="shared" si="14"/>
        <v>6</v>
      </c>
      <c r="R48" s="35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24">
        <v>9.0</v>
      </c>
      <c r="B49" s="25" t="s">
        <v>147</v>
      </c>
      <c r="C49" s="26" t="s">
        <v>148</v>
      </c>
      <c r="D49" s="27" t="s">
        <v>130</v>
      </c>
      <c r="E49" s="26" t="s">
        <v>149</v>
      </c>
      <c r="F49" s="27">
        <v>10.0</v>
      </c>
      <c r="G49" s="28">
        <v>96.0</v>
      </c>
      <c r="H49" s="24">
        <v>10.0</v>
      </c>
      <c r="I49" s="29">
        <v>106.0</v>
      </c>
      <c r="J49" s="30">
        <f t="shared" si="11"/>
        <v>86.92</v>
      </c>
      <c r="K49" s="31">
        <f t="shared" si="12"/>
        <v>106000</v>
      </c>
      <c r="L49" s="32">
        <v>0.18</v>
      </c>
      <c r="M49" s="33">
        <f t="shared" si="15"/>
        <v>86920</v>
      </c>
      <c r="N49" s="20">
        <f t="shared" si="13"/>
        <v>1060000</v>
      </c>
      <c r="O49" s="21"/>
      <c r="P49" s="21"/>
      <c r="Q49" s="34">
        <f t="shared" si="14"/>
        <v>7</v>
      </c>
      <c r="R49" s="35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24">
        <v>10.0</v>
      </c>
      <c r="B50" s="25" t="s">
        <v>150</v>
      </c>
      <c r="C50" s="26" t="s">
        <v>151</v>
      </c>
      <c r="D50" s="27" t="s">
        <v>44</v>
      </c>
      <c r="E50" s="26" t="s">
        <v>88</v>
      </c>
      <c r="F50" s="27">
        <v>10.0</v>
      </c>
      <c r="G50" s="28">
        <v>97.0</v>
      </c>
      <c r="H50" s="24">
        <v>10.0</v>
      </c>
      <c r="I50" s="29">
        <v>107.0</v>
      </c>
      <c r="J50" s="30">
        <f t="shared" si="11"/>
        <v>87.74</v>
      </c>
      <c r="K50" s="31">
        <f t="shared" si="12"/>
        <v>107000</v>
      </c>
      <c r="L50" s="32">
        <v>0.18</v>
      </c>
      <c r="M50" s="33">
        <f t="shared" si="15"/>
        <v>87740</v>
      </c>
      <c r="N50" s="20">
        <f t="shared" si="13"/>
        <v>1070000</v>
      </c>
      <c r="O50" s="21"/>
      <c r="P50" s="21"/>
      <c r="Q50" s="34">
        <f t="shared" si="14"/>
        <v>7</v>
      </c>
      <c r="R50" s="35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24">
        <v>11.0</v>
      </c>
      <c r="B51" s="25" t="s">
        <v>152</v>
      </c>
      <c r="C51" s="26" t="s">
        <v>153</v>
      </c>
      <c r="D51" s="27" t="s">
        <v>71</v>
      </c>
      <c r="E51" s="26" t="s">
        <v>154</v>
      </c>
      <c r="F51" s="27">
        <v>10.0</v>
      </c>
      <c r="G51" s="28">
        <v>103.0</v>
      </c>
      <c r="H51" s="24">
        <v>10.0</v>
      </c>
      <c r="I51" s="29">
        <v>113.0</v>
      </c>
      <c r="J51" s="30">
        <f t="shared" si="11"/>
        <v>92.66</v>
      </c>
      <c r="K51" s="31">
        <f t="shared" si="12"/>
        <v>113000</v>
      </c>
      <c r="L51" s="32">
        <v>0.18</v>
      </c>
      <c r="M51" s="33">
        <f t="shared" si="15"/>
        <v>92660</v>
      </c>
      <c r="N51" s="20">
        <f t="shared" si="13"/>
        <v>1130000</v>
      </c>
      <c r="O51" s="21"/>
      <c r="P51" s="21"/>
      <c r="Q51" s="34">
        <f t="shared" si="14"/>
        <v>7</v>
      </c>
      <c r="R51" s="35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24">
        <v>12.0</v>
      </c>
      <c r="B52" s="25" t="s">
        <v>155</v>
      </c>
      <c r="C52" s="26" t="s">
        <v>156</v>
      </c>
      <c r="D52" s="27" t="s">
        <v>157</v>
      </c>
      <c r="E52" s="26" t="s">
        <v>158</v>
      </c>
      <c r="F52" s="27">
        <v>10.0</v>
      </c>
      <c r="G52" s="28">
        <v>120.0</v>
      </c>
      <c r="H52" s="24">
        <v>12.0</v>
      </c>
      <c r="I52" s="29">
        <v>132.0</v>
      </c>
      <c r="J52" s="30">
        <f t="shared" si="11"/>
        <v>108.24</v>
      </c>
      <c r="K52" s="31">
        <f t="shared" si="12"/>
        <v>132000</v>
      </c>
      <c r="L52" s="32">
        <v>0.18</v>
      </c>
      <c r="M52" s="33">
        <f t="shared" si="15"/>
        <v>108240</v>
      </c>
      <c r="N52" s="20">
        <f t="shared" si="13"/>
        <v>1320000</v>
      </c>
      <c r="O52" s="21"/>
      <c r="P52" s="21"/>
      <c r="Q52" s="34">
        <f t="shared" si="14"/>
        <v>8</v>
      </c>
      <c r="R52" s="35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24">
        <v>13.0</v>
      </c>
      <c r="B53" s="25" t="s">
        <v>159</v>
      </c>
      <c r="C53" s="26" t="s">
        <v>160</v>
      </c>
      <c r="D53" s="27" t="s">
        <v>157</v>
      </c>
      <c r="E53" s="26" t="s">
        <v>161</v>
      </c>
      <c r="F53" s="27">
        <v>10.0</v>
      </c>
      <c r="G53" s="28">
        <v>120.0</v>
      </c>
      <c r="H53" s="24">
        <v>12.0</v>
      </c>
      <c r="I53" s="29">
        <v>132.0</v>
      </c>
      <c r="J53" s="30">
        <f t="shared" si="11"/>
        <v>108.24</v>
      </c>
      <c r="K53" s="31">
        <f t="shared" si="12"/>
        <v>132000</v>
      </c>
      <c r="L53" s="32">
        <v>0.18</v>
      </c>
      <c r="M53" s="33">
        <f t="shared" si="15"/>
        <v>108240</v>
      </c>
      <c r="N53" s="20">
        <f t="shared" si="13"/>
        <v>1320000</v>
      </c>
      <c r="O53" s="21"/>
      <c r="P53" s="21"/>
      <c r="Q53" s="34">
        <f t="shared" si="14"/>
        <v>8</v>
      </c>
      <c r="R53" s="35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24">
        <v>14.0</v>
      </c>
      <c r="B54" s="25" t="s">
        <v>162</v>
      </c>
      <c r="C54" s="26" t="s">
        <v>163</v>
      </c>
      <c r="D54" s="27" t="s">
        <v>71</v>
      </c>
      <c r="E54" s="26" t="s">
        <v>45</v>
      </c>
      <c r="F54" s="27">
        <v>10.0</v>
      </c>
      <c r="G54" s="28">
        <v>58.0</v>
      </c>
      <c r="H54" s="24">
        <v>6.0</v>
      </c>
      <c r="I54" s="29">
        <v>64.0</v>
      </c>
      <c r="J54" s="30">
        <f t="shared" si="11"/>
        <v>52.48</v>
      </c>
      <c r="K54" s="31">
        <f t="shared" si="12"/>
        <v>64000</v>
      </c>
      <c r="L54" s="32">
        <v>0.18</v>
      </c>
      <c r="M54" s="33">
        <f t="shared" si="15"/>
        <v>52480</v>
      </c>
      <c r="N54" s="20">
        <f t="shared" si="13"/>
        <v>640000</v>
      </c>
      <c r="O54" s="21"/>
      <c r="P54" s="21"/>
      <c r="Q54" s="34">
        <f t="shared" si="14"/>
        <v>4</v>
      </c>
      <c r="R54" s="35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24">
        <v>15.0</v>
      </c>
      <c r="B55" s="25" t="s">
        <v>164</v>
      </c>
      <c r="C55" s="26" t="s">
        <v>165</v>
      </c>
      <c r="D55" s="27" t="s">
        <v>71</v>
      </c>
      <c r="E55" s="26" t="s">
        <v>65</v>
      </c>
      <c r="F55" s="27">
        <v>10.0</v>
      </c>
      <c r="G55" s="28">
        <v>68.0</v>
      </c>
      <c r="H55" s="24">
        <v>7.0</v>
      </c>
      <c r="I55" s="29">
        <v>75.0</v>
      </c>
      <c r="J55" s="30">
        <f t="shared" si="11"/>
        <v>61.5</v>
      </c>
      <c r="K55" s="31">
        <f t="shared" si="12"/>
        <v>75000</v>
      </c>
      <c r="L55" s="32">
        <v>0.18</v>
      </c>
      <c r="M55" s="33">
        <f t="shared" si="15"/>
        <v>61500</v>
      </c>
      <c r="N55" s="20">
        <f t="shared" si="13"/>
        <v>750000</v>
      </c>
      <c r="O55" s="21"/>
      <c r="P55" s="21"/>
      <c r="Q55" s="34">
        <f t="shared" si="14"/>
        <v>5</v>
      </c>
      <c r="R55" s="35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5" t="s">
        <v>166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/>
      <c r="R56" s="35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24">
        <v>1.0</v>
      </c>
      <c r="B57" s="25" t="s">
        <v>167</v>
      </c>
      <c r="C57" s="26" t="s">
        <v>168</v>
      </c>
      <c r="D57" s="27" t="s">
        <v>24</v>
      </c>
      <c r="E57" s="26" t="s">
        <v>169</v>
      </c>
      <c r="F57" s="27">
        <v>6.0</v>
      </c>
      <c r="G57" s="28">
        <v>199.0</v>
      </c>
      <c r="H57" s="24">
        <v>20.0</v>
      </c>
      <c r="I57" s="29">
        <v>219.0</v>
      </c>
      <c r="J57" s="30">
        <f>I57-(I57*$J$2)</f>
        <v>179.58</v>
      </c>
      <c r="K57" s="31">
        <f>I57*$K$2</f>
        <v>219000</v>
      </c>
      <c r="L57" s="32">
        <v>0.4</v>
      </c>
      <c r="M57" s="33">
        <f>K57-(K57*L57)</f>
        <v>131400</v>
      </c>
      <c r="N57" s="36">
        <f>K57*F57</f>
        <v>1314000</v>
      </c>
      <c r="O57" s="21"/>
      <c r="P57" s="21"/>
      <c r="Q57" s="34">
        <f>ROUNDUP(K57/$Q$2,0)</f>
        <v>13</v>
      </c>
      <c r="R57" s="37" t="s">
        <v>170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5" t="s">
        <v>171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38"/>
      <c r="O58" s="16"/>
      <c r="P58" s="16"/>
      <c r="Q58" s="17"/>
      <c r="R58" s="35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24">
        <v>1.0</v>
      </c>
      <c r="B59" s="25" t="s">
        <v>172</v>
      </c>
      <c r="C59" s="26" t="s">
        <v>173</v>
      </c>
      <c r="D59" s="27" t="s">
        <v>174</v>
      </c>
      <c r="E59" s="26" t="s">
        <v>175</v>
      </c>
      <c r="F59" s="27">
        <v>6.0</v>
      </c>
      <c r="G59" s="28">
        <v>299.0</v>
      </c>
      <c r="H59" s="39"/>
      <c r="I59" s="29">
        <v>299.0</v>
      </c>
      <c r="J59" s="30">
        <f>I59-(I59*$J$2)</f>
        <v>245.18</v>
      </c>
      <c r="K59" s="31">
        <f>I59*$K$2</f>
        <v>299000</v>
      </c>
      <c r="L59" s="32">
        <v>0.4</v>
      </c>
      <c r="M59" s="33">
        <f>K59-(K59*L59)</f>
        <v>179400</v>
      </c>
      <c r="N59" s="36">
        <f>K59*F59</f>
        <v>1794000</v>
      </c>
      <c r="O59" s="21"/>
      <c r="P59" s="21"/>
      <c r="Q59" s="34">
        <f>ROUNDUP(K59/$Q$2,0)</f>
        <v>18</v>
      </c>
      <c r="R59" s="37" t="s">
        <v>170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5" t="s">
        <v>176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35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24">
        <v>1.0</v>
      </c>
      <c r="B61" s="25" t="s">
        <v>177</v>
      </c>
      <c r="C61" s="26" t="s">
        <v>178</v>
      </c>
      <c r="D61" s="27" t="s">
        <v>71</v>
      </c>
      <c r="E61" s="26" t="s">
        <v>143</v>
      </c>
      <c r="F61" s="27">
        <v>10.0</v>
      </c>
      <c r="G61" s="28">
        <v>82.0</v>
      </c>
      <c r="H61" s="24">
        <v>8.0</v>
      </c>
      <c r="I61" s="29">
        <v>90.0</v>
      </c>
      <c r="J61" s="30">
        <f>I61-(I61*$J$2)</f>
        <v>73.8</v>
      </c>
      <c r="K61" s="31">
        <f>I61*$K$2</f>
        <v>90000</v>
      </c>
      <c r="L61" s="32">
        <v>0.18</v>
      </c>
      <c r="M61" s="33">
        <f>K61-(K61*L61)</f>
        <v>73800</v>
      </c>
      <c r="N61" s="20">
        <f>K61*F61</f>
        <v>900000</v>
      </c>
      <c r="O61" s="21"/>
      <c r="P61" s="21"/>
      <c r="Q61" s="34">
        <f>ROUNDUP(K61/$Q$2,0)</f>
        <v>6</v>
      </c>
      <c r="R61" s="35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5" t="s">
        <v>179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35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24">
        <v>1.0</v>
      </c>
      <c r="B63" s="25" t="s">
        <v>180</v>
      </c>
      <c r="C63" s="26" t="s">
        <v>181</v>
      </c>
      <c r="D63" s="27" t="s">
        <v>182</v>
      </c>
      <c r="E63" s="26" t="s">
        <v>183</v>
      </c>
      <c r="F63" s="27">
        <v>24.0</v>
      </c>
      <c r="G63" s="28">
        <v>37.0</v>
      </c>
      <c r="H63" s="24">
        <v>4.0</v>
      </c>
      <c r="I63" s="29">
        <v>41.0</v>
      </c>
      <c r="J63" s="30">
        <f t="shared" ref="J63:J72" si="16">I63-(I63*$J$2)</f>
        <v>33.62</v>
      </c>
      <c r="K63" s="31">
        <f t="shared" ref="K63:K72" si="17">I63*$K$2</f>
        <v>41000</v>
      </c>
      <c r="L63" s="32">
        <v>0.18</v>
      </c>
      <c r="M63" s="33">
        <f t="shared" ref="M63:M72" si="18">K63-(K63*L63)</f>
        <v>33620</v>
      </c>
      <c r="N63" s="20">
        <f t="shared" ref="N63:N72" si="19">K63*F63</f>
        <v>984000</v>
      </c>
      <c r="O63" s="21"/>
      <c r="P63" s="21"/>
      <c r="Q63" s="34">
        <f t="shared" ref="Q63:Q72" si="20">ROUNDUP(K63/$Q$2,0)</f>
        <v>3</v>
      </c>
      <c r="R63" s="35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24">
        <v>2.0</v>
      </c>
      <c r="B64" s="25" t="s">
        <v>184</v>
      </c>
      <c r="C64" s="26" t="s">
        <v>185</v>
      </c>
      <c r="D64" s="27" t="s">
        <v>182</v>
      </c>
      <c r="E64" s="26" t="s">
        <v>183</v>
      </c>
      <c r="F64" s="27">
        <v>24.0</v>
      </c>
      <c r="G64" s="28">
        <v>39.0</v>
      </c>
      <c r="H64" s="24">
        <v>4.0</v>
      </c>
      <c r="I64" s="29">
        <v>43.0</v>
      </c>
      <c r="J64" s="30">
        <f t="shared" si="16"/>
        <v>35.26</v>
      </c>
      <c r="K64" s="31">
        <f t="shared" si="17"/>
        <v>43000</v>
      </c>
      <c r="L64" s="32">
        <v>0.18</v>
      </c>
      <c r="M64" s="33">
        <f t="shared" si="18"/>
        <v>35260</v>
      </c>
      <c r="N64" s="20">
        <f t="shared" si="19"/>
        <v>1032000</v>
      </c>
      <c r="O64" s="21"/>
      <c r="P64" s="21"/>
      <c r="Q64" s="34">
        <f t="shared" si="20"/>
        <v>3</v>
      </c>
      <c r="R64" s="35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24">
        <v>3.0</v>
      </c>
      <c r="B65" s="25" t="s">
        <v>186</v>
      </c>
      <c r="C65" s="26" t="s">
        <v>187</v>
      </c>
      <c r="D65" s="27" t="s">
        <v>188</v>
      </c>
      <c r="E65" s="26" t="s">
        <v>189</v>
      </c>
      <c r="F65" s="27">
        <v>24.0</v>
      </c>
      <c r="G65" s="28">
        <v>38.0</v>
      </c>
      <c r="H65" s="24">
        <v>4.0</v>
      </c>
      <c r="I65" s="29">
        <v>42.0</v>
      </c>
      <c r="J65" s="30">
        <f t="shared" si="16"/>
        <v>34.44</v>
      </c>
      <c r="K65" s="31">
        <f t="shared" si="17"/>
        <v>42000</v>
      </c>
      <c r="L65" s="32">
        <v>0.18</v>
      </c>
      <c r="M65" s="33">
        <f t="shared" si="18"/>
        <v>34440</v>
      </c>
      <c r="N65" s="20">
        <f t="shared" si="19"/>
        <v>1008000</v>
      </c>
      <c r="O65" s="21"/>
      <c r="P65" s="21"/>
      <c r="Q65" s="34">
        <f t="shared" si="20"/>
        <v>3</v>
      </c>
      <c r="R65" s="35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24">
        <v>4.0</v>
      </c>
      <c r="B66" s="25" t="s">
        <v>190</v>
      </c>
      <c r="C66" s="26" t="s">
        <v>191</v>
      </c>
      <c r="D66" s="27" t="s">
        <v>192</v>
      </c>
      <c r="E66" s="26" t="s">
        <v>189</v>
      </c>
      <c r="F66" s="27">
        <v>24.0</v>
      </c>
      <c r="G66" s="28">
        <v>39.0</v>
      </c>
      <c r="H66" s="24">
        <v>4.0</v>
      </c>
      <c r="I66" s="29">
        <v>43.0</v>
      </c>
      <c r="J66" s="30">
        <f t="shared" si="16"/>
        <v>35.26</v>
      </c>
      <c r="K66" s="31">
        <f t="shared" si="17"/>
        <v>43000</v>
      </c>
      <c r="L66" s="32">
        <v>0.18</v>
      </c>
      <c r="M66" s="33">
        <f t="shared" si="18"/>
        <v>35260</v>
      </c>
      <c r="N66" s="20">
        <f t="shared" si="19"/>
        <v>1032000</v>
      </c>
      <c r="O66" s="21"/>
      <c r="P66" s="21"/>
      <c r="Q66" s="34">
        <f t="shared" si="20"/>
        <v>3</v>
      </c>
      <c r="R66" s="35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24">
        <v>5.0</v>
      </c>
      <c r="B67" s="25" t="s">
        <v>193</v>
      </c>
      <c r="C67" s="26" t="s">
        <v>194</v>
      </c>
      <c r="D67" s="27" t="s">
        <v>195</v>
      </c>
      <c r="E67" s="26" t="s">
        <v>196</v>
      </c>
      <c r="F67" s="27">
        <v>18.0</v>
      </c>
      <c r="G67" s="28">
        <v>43.0</v>
      </c>
      <c r="H67" s="24">
        <v>4.0</v>
      </c>
      <c r="I67" s="29">
        <v>47.0</v>
      </c>
      <c r="J67" s="30">
        <f t="shared" si="16"/>
        <v>38.54</v>
      </c>
      <c r="K67" s="31">
        <f t="shared" si="17"/>
        <v>47000</v>
      </c>
      <c r="L67" s="32">
        <v>0.18</v>
      </c>
      <c r="M67" s="33">
        <f t="shared" si="18"/>
        <v>38540</v>
      </c>
      <c r="N67" s="20">
        <f t="shared" si="19"/>
        <v>846000</v>
      </c>
      <c r="O67" s="21"/>
      <c r="P67" s="21"/>
      <c r="Q67" s="34">
        <f t="shared" si="20"/>
        <v>3</v>
      </c>
      <c r="R67" s="35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24">
        <v>6.0</v>
      </c>
      <c r="B68" s="25" t="s">
        <v>197</v>
      </c>
      <c r="C68" s="26" t="s">
        <v>198</v>
      </c>
      <c r="D68" s="27" t="s">
        <v>199</v>
      </c>
      <c r="E68" s="26" t="s">
        <v>200</v>
      </c>
      <c r="F68" s="27">
        <v>18.0</v>
      </c>
      <c r="G68" s="28">
        <v>58.0</v>
      </c>
      <c r="H68" s="24">
        <v>6.0</v>
      </c>
      <c r="I68" s="29">
        <v>64.0</v>
      </c>
      <c r="J68" s="30">
        <f t="shared" si="16"/>
        <v>52.48</v>
      </c>
      <c r="K68" s="31">
        <f t="shared" si="17"/>
        <v>64000</v>
      </c>
      <c r="L68" s="32">
        <v>0.18</v>
      </c>
      <c r="M68" s="33">
        <f t="shared" si="18"/>
        <v>52480</v>
      </c>
      <c r="N68" s="20">
        <f t="shared" si="19"/>
        <v>1152000</v>
      </c>
      <c r="O68" s="21"/>
      <c r="P68" s="21"/>
      <c r="Q68" s="34">
        <f t="shared" si="20"/>
        <v>4</v>
      </c>
      <c r="R68" s="35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24">
        <v>7.0</v>
      </c>
      <c r="B69" s="25" t="s">
        <v>201</v>
      </c>
      <c r="C69" s="26" t="s">
        <v>202</v>
      </c>
      <c r="D69" s="27" t="s">
        <v>199</v>
      </c>
      <c r="E69" s="26" t="s">
        <v>203</v>
      </c>
      <c r="F69" s="27">
        <v>18.0</v>
      </c>
      <c r="G69" s="28">
        <v>60.0</v>
      </c>
      <c r="H69" s="24">
        <v>6.0</v>
      </c>
      <c r="I69" s="29">
        <v>66.0</v>
      </c>
      <c r="J69" s="30">
        <f t="shared" si="16"/>
        <v>54.12</v>
      </c>
      <c r="K69" s="31">
        <f t="shared" si="17"/>
        <v>66000</v>
      </c>
      <c r="L69" s="32">
        <v>0.18</v>
      </c>
      <c r="M69" s="33">
        <f t="shared" si="18"/>
        <v>54120</v>
      </c>
      <c r="N69" s="20">
        <f t="shared" si="19"/>
        <v>1188000</v>
      </c>
      <c r="O69" s="21"/>
      <c r="P69" s="21"/>
      <c r="Q69" s="34">
        <f t="shared" si="20"/>
        <v>4</v>
      </c>
      <c r="R69" s="35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24">
        <v>8.0</v>
      </c>
      <c r="B70" s="25" t="s">
        <v>204</v>
      </c>
      <c r="C70" s="26" t="s">
        <v>205</v>
      </c>
      <c r="D70" s="27" t="s">
        <v>199</v>
      </c>
      <c r="E70" s="26" t="s">
        <v>206</v>
      </c>
      <c r="F70" s="27">
        <v>18.0</v>
      </c>
      <c r="G70" s="28">
        <v>75.0</v>
      </c>
      <c r="H70" s="24">
        <v>8.0</v>
      </c>
      <c r="I70" s="29">
        <v>83.0</v>
      </c>
      <c r="J70" s="30">
        <f t="shared" si="16"/>
        <v>68.06</v>
      </c>
      <c r="K70" s="31">
        <f t="shared" si="17"/>
        <v>83000</v>
      </c>
      <c r="L70" s="32">
        <v>0.18</v>
      </c>
      <c r="M70" s="33">
        <f t="shared" si="18"/>
        <v>68060</v>
      </c>
      <c r="N70" s="20">
        <f t="shared" si="19"/>
        <v>1494000</v>
      </c>
      <c r="O70" s="21"/>
      <c r="P70" s="21"/>
      <c r="Q70" s="34">
        <f t="shared" si="20"/>
        <v>5</v>
      </c>
      <c r="R70" s="35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24">
        <v>9.0</v>
      </c>
      <c r="B71" s="25" t="s">
        <v>207</v>
      </c>
      <c r="C71" s="26" t="s">
        <v>208</v>
      </c>
      <c r="D71" s="27" t="s">
        <v>182</v>
      </c>
      <c r="E71" s="26" t="s">
        <v>209</v>
      </c>
      <c r="F71" s="27">
        <v>24.0</v>
      </c>
      <c r="G71" s="28">
        <v>55.0</v>
      </c>
      <c r="H71" s="24">
        <v>6.0</v>
      </c>
      <c r="I71" s="29">
        <v>61.0</v>
      </c>
      <c r="J71" s="30">
        <f t="shared" si="16"/>
        <v>50.02</v>
      </c>
      <c r="K71" s="31">
        <f t="shared" si="17"/>
        <v>61000</v>
      </c>
      <c r="L71" s="32">
        <v>0.18</v>
      </c>
      <c r="M71" s="33">
        <f t="shared" si="18"/>
        <v>50020</v>
      </c>
      <c r="N71" s="20">
        <f t="shared" si="19"/>
        <v>1464000</v>
      </c>
      <c r="O71" s="21"/>
      <c r="P71" s="21"/>
      <c r="Q71" s="34">
        <f t="shared" si="20"/>
        <v>4</v>
      </c>
      <c r="R71" s="35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24">
        <v>10.0</v>
      </c>
      <c r="B72" s="25" t="s">
        <v>210</v>
      </c>
      <c r="C72" s="26" t="s">
        <v>211</v>
      </c>
      <c r="D72" s="27" t="s">
        <v>182</v>
      </c>
      <c r="E72" s="26" t="s">
        <v>212</v>
      </c>
      <c r="F72" s="27">
        <v>24.0</v>
      </c>
      <c r="G72" s="28">
        <v>55.0</v>
      </c>
      <c r="H72" s="24">
        <v>6.0</v>
      </c>
      <c r="I72" s="29">
        <v>61.0</v>
      </c>
      <c r="J72" s="30">
        <f t="shared" si="16"/>
        <v>50.02</v>
      </c>
      <c r="K72" s="31">
        <f t="shared" si="17"/>
        <v>61000</v>
      </c>
      <c r="L72" s="32">
        <v>0.18</v>
      </c>
      <c r="M72" s="33">
        <f t="shared" si="18"/>
        <v>50020</v>
      </c>
      <c r="N72" s="20">
        <f t="shared" si="19"/>
        <v>1464000</v>
      </c>
      <c r="O72" s="21"/>
      <c r="P72" s="21"/>
      <c r="Q72" s="34">
        <f t="shared" si="20"/>
        <v>4</v>
      </c>
      <c r="R72" s="35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5" t="s">
        <v>213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/>
      <c r="R73" s="35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24">
        <v>1.0</v>
      </c>
      <c r="B74" s="25" t="s">
        <v>214</v>
      </c>
      <c r="C74" s="26" t="s">
        <v>215</v>
      </c>
      <c r="D74" s="27" t="s">
        <v>17</v>
      </c>
      <c r="E74" s="26" t="s">
        <v>216</v>
      </c>
      <c r="F74" s="27">
        <v>24.0</v>
      </c>
      <c r="G74" s="28">
        <v>215.0</v>
      </c>
      <c r="H74" s="24">
        <v>22.0</v>
      </c>
      <c r="I74" s="29">
        <v>237.0</v>
      </c>
      <c r="J74" s="30">
        <f t="shared" ref="J74:J80" si="21">I74-(I74*$J$2)</f>
        <v>194.34</v>
      </c>
      <c r="K74" s="31">
        <f t="shared" ref="K74:K80" si="22">I74*$K$2</f>
        <v>237000</v>
      </c>
      <c r="L74" s="32">
        <v>0.16</v>
      </c>
      <c r="M74" s="33">
        <f t="shared" ref="M74:M80" si="23">K74-(K74*L74)</f>
        <v>199080</v>
      </c>
      <c r="N74" s="20">
        <f t="shared" ref="N74:N80" si="24">K74*F74</f>
        <v>5688000</v>
      </c>
      <c r="O74" s="21"/>
      <c r="P74" s="21"/>
      <c r="Q74" s="34">
        <f t="shared" ref="Q74:Q80" si="25">ROUNDUP(K74/$Q$2,0)</f>
        <v>14</v>
      </c>
      <c r="R74" s="35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24">
        <v>2.0</v>
      </c>
      <c r="B75" s="25" t="s">
        <v>217</v>
      </c>
      <c r="C75" s="26" t="s">
        <v>218</v>
      </c>
      <c r="D75" s="27" t="s">
        <v>219</v>
      </c>
      <c r="E75" s="26" t="s">
        <v>220</v>
      </c>
      <c r="F75" s="27">
        <v>24.0</v>
      </c>
      <c r="G75" s="28">
        <v>205.0</v>
      </c>
      <c r="H75" s="24">
        <v>21.0</v>
      </c>
      <c r="I75" s="29">
        <v>226.0</v>
      </c>
      <c r="J75" s="30">
        <f t="shared" si="21"/>
        <v>185.32</v>
      </c>
      <c r="K75" s="31">
        <f t="shared" si="22"/>
        <v>226000</v>
      </c>
      <c r="L75" s="32">
        <v>0.16</v>
      </c>
      <c r="M75" s="33">
        <f t="shared" si="23"/>
        <v>189840</v>
      </c>
      <c r="N75" s="20">
        <f t="shared" si="24"/>
        <v>5424000</v>
      </c>
      <c r="O75" s="21"/>
      <c r="P75" s="21"/>
      <c r="Q75" s="34">
        <f t="shared" si="25"/>
        <v>14</v>
      </c>
      <c r="R75" s="35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24">
        <v>3.0</v>
      </c>
      <c r="B76" s="25" t="s">
        <v>221</v>
      </c>
      <c r="C76" s="26" t="s">
        <v>222</v>
      </c>
      <c r="D76" s="27" t="s">
        <v>64</v>
      </c>
      <c r="E76" s="26" t="s">
        <v>223</v>
      </c>
      <c r="F76" s="27">
        <v>24.0</v>
      </c>
      <c r="G76" s="28">
        <v>350.0</v>
      </c>
      <c r="H76" s="24">
        <v>40.0</v>
      </c>
      <c r="I76" s="29">
        <v>390.0</v>
      </c>
      <c r="J76" s="30">
        <f t="shared" si="21"/>
        <v>319.8</v>
      </c>
      <c r="K76" s="31">
        <f t="shared" si="22"/>
        <v>390000</v>
      </c>
      <c r="L76" s="32">
        <v>0.16</v>
      </c>
      <c r="M76" s="33">
        <f t="shared" si="23"/>
        <v>327600</v>
      </c>
      <c r="N76" s="20">
        <f t="shared" si="24"/>
        <v>9360000</v>
      </c>
      <c r="O76" s="21"/>
      <c r="P76" s="21"/>
      <c r="Q76" s="34">
        <f t="shared" si="25"/>
        <v>23</v>
      </c>
      <c r="R76" s="35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24">
        <v>4.0</v>
      </c>
      <c r="B77" s="25" t="s">
        <v>224</v>
      </c>
      <c r="C77" s="26" t="s">
        <v>225</v>
      </c>
      <c r="D77" s="27" t="s">
        <v>219</v>
      </c>
      <c r="E77" s="26" t="s">
        <v>226</v>
      </c>
      <c r="F77" s="27">
        <v>24.0</v>
      </c>
      <c r="G77" s="28">
        <v>320.0</v>
      </c>
      <c r="H77" s="24">
        <v>32.0</v>
      </c>
      <c r="I77" s="29">
        <v>352.0</v>
      </c>
      <c r="J77" s="30">
        <f t="shared" si="21"/>
        <v>288.64</v>
      </c>
      <c r="K77" s="31">
        <f t="shared" si="22"/>
        <v>352000</v>
      </c>
      <c r="L77" s="32">
        <v>0.16</v>
      </c>
      <c r="M77" s="33">
        <f t="shared" si="23"/>
        <v>295680</v>
      </c>
      <c r="N77" s="20">
        <f t="shared" si="24"/>
        <v>8448000</v>
      </c>
      <c r="O77" s="21"/>
      <c r="P77" s="21"/>
      <c r="Q77" s="34">
        <f t="shared" si="25"/>
        <v>21</v>
      </c>
      <c r="R77" s="35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24">
        <v>5.0</v>
      </c>
      <c r="B78" s="25" t="s">
        <v>227</v>
      </c>
      <c r="C78" s="26" t="s">
        <v>228</v>
      </c>
      <c r="D78" s="27" t="s">
        <v>64</v>
      </c>
      <c r="E78" s="26" t="s">
        <v>229</v>
      </c>
      <c r="F78" s="27">
        <v>24.0</v>
      </c>
      <c r="G78" s="28">
        <v>360.0</v>
      </c>
      <c r="H78" s="24">
        <v>36.0</v>
      </c>
      <c r="I78" s="29">
        <v>396.0</v>
      </c>
      <c r="J78" s="30">
        <f t="shared" si="21"/>
        <v>324.72</v>
      </c>
      <c r="K78" s="31">
        <f t="shared" si="22"/>
        <v>396000</v>
      </c>
      <c r="L78" s="32">
        <v>0.16</v>
      </c>
      <c r="M78" s="33">
        <f t="shared" si="23"/>
        <v>332640</v>
      </c>
      <c r="N78" s="20">
        <f t="shared" si="24"/>
        <v>9504000</v>
      </c>
      <c r="O78" s="21"/>
      <c r="P78" s="21"/>
      <c r="Q78" s="34">
        <f t="shared" si="25"/>
        <v>24</v>
      </c>
      <c r="R78" s="35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24">
        <v>6.0</v>
      </c>
      <c r="B79" s="25" t="s">
        <v>230</v>
      </c>
      <c r="C79" s="26" t="s">
        <v>231</v>
      </c>
      <c r="D79" s="27" t="s">
        <v>64</v>
      </c>
      <c r="E79" s="26" t="s">
        <v>232</v>
      </c>
      <c r="F79" s="27">
        <v>24.0</v>
      </c>
      <c r="G79" s="28">
        <v>390.0</v>
      </c>
      <c r="H79" s="24">
        <v>39.0</v>
      </c>
      <c r="I79" s="29">
        <v>429.0</v>
      </c>
      <c r="J79" s="30">
        <f t="shared" si="21"/>
        <v>351.78</v>
      </c>
      <c r="K79" s="31">
        <f t="shared" si="22"/>
        <v>429000</v>
      </c>
      <c r="L79" s="32">
        <v>0.16</v>
      </c>
      <c r="M79" s="33">
        <f t="shared" si="23"/>
        <v>360360</v>
      </c>
      <c r="N79" s="20">
        <f t="shared" si="24"/>
        <v>10296000</v>
      </c>
      <c r="O79" s="21"/>
      <c r="P79" s="21"/>
      <c r="Q79" s="34">
        <f t="shared" si="25"/>
        <v>26</v>
      </c>
      <c r="R79" s="35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24">
        <v>7.0</v>
      </c>
      <c r="B80" s="25" t="s">
        <v>233</v>
      </c>
      <c r="C80" s="26" t="s">
        <v>234</v>
      </c>
      <c r="D80" s="27" t="s">
        <v>64</v>
      </c>
      <c r="E80" s="26" t="s">
        <v>235</v>
      </c>
      <c r="F80" s="27">
        <v>24.0</v>
      </c>
      <c r="G80" s="28">
        <v>310.0</v>
      </c>
      <c r="H80" s="24">
        <v>31.0</v>
      </c>
      <c r="I80" s="29">
        <v>341.0</v>
      </c>
      <c r="J80" s="30">
        <f t="shared" si="21"/>
        <v>279.62</v>
      </c>
      <c r="K80" s="31">
        <f t="shared" si="22"/>
        <v>341000</v>
      </c>
      <c r="L80" s="32">
        <v>0.16</v>
      </c>
      <c r="M80" s="33">
        <f t="shared" si="23"/>
        <v>286440</v>
      </c>
      <c r="N80" s="20">
        <f t="shared" si="24"/>
        <v>8184000</v>
      </c>
      <c r="O80" s="21"/>
      <c r="P80" s="21"/>
      <c r="Q80" s="34">
        <f t="shared" si="25"/>
        <v>21</v>
      </c>
      <c r="R80" s="35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5" t="s">
        <v>236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35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24">
        <v>1.0</v>
      </c>
      <c r="B82" s="25" t="s">
        <v>237</v>
      </c>
      <c r="C82" s="26" t="s">
        <v>238</v>
      </c>
      <c r="D82" s="27" t="s">
        <v>17</v>
      </c>
      <c r="E82" s="26" t="s">
        <v>239</v>
      </c>
      <c r="F82" s="27">
        <v>24.0</v>
      </c>
      <c r="G82" s="28">
        <v>215.0</v>
      </c>
      <c r="H82" s="24">
        <v>22.0</v>
      </c>
      <c r="I82" s="29">
        <v>237.0</v>
      </c>
      <c r="J82" s="30">
        <f t="shared" ref="J82:J87" si="26">I82-(I82*$J$2)</f>
        <v>194.34</v>
      </c>
      <c r="K82" s="31">
        <f t="shared" ref="K82:K87" si="27">I82*$K$2</f>
        <v>237000</v>
      </c>
      <c r="L82" s="32">
        <v>0.15</v>
      </c>
      <c r="M82" s="33">
        <f t="shared" ref="M82:M87" si="28">K82-(K82*L82)</f>
        <v>201450</v>
      </c>
      <c r="N82" s="20">
        <f t="shared" ref="N82:N87" si="29">K82*F82</f>
        <v>5688000</v>
      </c>
      <c r="O82" s="21"/>
      <c r="P82" s="21"/>
      <c r="Q82" s="34">
        <f t="shared" ref="Q82:Q87" si="30">ROUNDUP(K82/$Q$2,0)</f>
        <v>14</v>
      </c>
      <c r="R82" s="35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24">
        <v>2.0</v>
      </c>
      <c r="B83" s="25" t="s">
        <v>240</v>
      </c>
      <c r="C83" s="26" t="s">
        <v>241</v>
      </c>
      <c r="D83" s="27" t="s">
        <v>242</v>
      </c>
      <c r="E83" s="26" t="s">
        <v>243</v>
      </c>
      <c r="F83" s="27">
        <v>24.0</v>
      </c>
      <c r="G83" s="28">
        <v>215.0</v>
      </c>
      <c r="H83" s="24">
        <v>22.0</v>
      </c>
      <c r="I83" s="29">
        <v>237.0</v>
      </c>
      <c r="J83" s="30">
        <f t="shared" si="26"/>
        <v>194.34</v>
      </c>
      <c r="K83" s="31">
        <f t="shared" si="27"/>
        <v>237000</v>
      </c>
      <c r="L83" s="32">
        <v>0.15</v>
      </c>
      <c r="M83" s="33">
        <f t="shared" si="28"/>
        <v>201450</v>
      </c>
      <c r="N83" s="20">
        <f t="shared" si="29"/>
        <v>5688000</v>
      </c>
      <c r="O83" s="21"/>
      <c r="P83" s="21"/>
      <c r="Q83" s="34">
        <f t="shared" si="30"/>
        <v>14</v>
      </c>
      <c r="R83" s="35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24">
        <v>3.0</v>
      </c>
      <c r="B84" s="25" t="s">
        <v>244</v>
      </c>
      <c r="C84" s="26" t="s">
        <v>245</v>
      </c>
      <c r="D84" s="27" t="s">
        <v>242</v>
      </c>
      <c r="E84" s="26" t="s">
        <v>243</v>
      </c>
      <c r="F84" s="27">
        <v>24.0</v>
      </c>
      <c r="G84" s="28">
        <v>235.0</v>
      </c>
      <c r="H84" s="24">
        <v>24.0</v>
      </c>
      <c r="I84" s="29">
        <v>259.0</v>
      </c>
      <c r="J84" s="30">
        <f t="shared" si="26"/>
        <v>212.38</v>
      </c>
      <c r="K84" s="31">
        <f t="shared" si="27"/>
        <v>259000</v>
      </c>
      <c r="L84" s="32">
        <v>0.15</v>
      </c>
      <c r="M84" s="33">
        <f t="shared" si="28"/>
        <v>220150</v>
      </c>
      <c r="N84" s="20">
        <f t="shared" si="29"/>
        <v>6216000</v>
      </c>
      <c r="O84" s="21"/>
      <c r="P84" s="21"/>
      <c r="Q84" s="34">
        <f t="shared" si="30"/>
        <v>16</v>
      </c>
      <c r="R84" s="35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24">
        <v>4.0</v>
      </c>
      <c r="B85" s="25" t="s">
        <v>246</v>
      </c>
      <c r="C85" s="26" t="s">
        <v>247</v>
      </c>
      <c r="D85" s="27" t="s">
        <v>17</v>
      </c>
      <c r="E85" s="26" t="s">
        <v>248</v>
      </c>
      <c r="F85" s="27">
        <v>24.0</v>
      </c>
      <c r="G85" s="28">
        <v>265.0</v>
      </c>
      <c r="H85" s="24">
        <v>27.0</v>
      </c>
      <c r="I85" s="29">
        <v>292.0</v>
      </c>
      <c r="J85" s="30">
        <f t="shared" si="26"/>
        <v>239.44</v>
      </c>
      <c r="K85" s="31">
        <f t="shared" si="27"/>
        <v>292000</v>
      </c>
      <c r="L85" s="32">
        <v>0.15</v>
      </c>
      <c r="M85" s="33">
        <f t="shared" si="28"/>
        <v>248200</v>
      </c>
      <c r="N85" s="20">
        <f t="shared" si="29"/>
        <v>7008000</v>
      </c>
      <c r="O85" s="21"/>
      <c r="P85" s="21"/>
      <c r="Q85" s="34">
        <f t="shared" si="30"/>
        <v>18</v>
      </c>
      <c r="R85" s="35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24">
        <v>5.0</v>
      </c>
      <c r="B86" s="25" t="s">
        <v>249</v>
      </c>
      <c r="C86" s="26" t="s">
        <v>250</v>
      </c>
      <c r="D86" s="27" t="s">
        <v>242</v>
      </c>
      <c r="E86" s="26" t="s">
        <v>248</v>
      </c>
      <c r="F86" s="27">
        <v>24.0</v>
      </c>
      <c r="G86" s="28">
        <v>265.0</v>
      </c>
      <c r="H86" s="24">
        <v>27.0</v>
      </c>
      <c r="I86" s="29">
        <v>292.0</v>
      </c>
      <c r="J86" s="30">
        <f t="shared" si="26"/>
        <v>239.44</v>
      </c>
      <c r="K86" s="31">
        <f t="shared" si="27"/>
        <v>292000</v>
      </c>
      <c r="L86" s="32">
        <v>0.15</v>
      </c>
      <c r="M86" s="33">
        <f t="shared" si="28"/>
        <v>248200</v>
      </c>
      <c r="N86" s="20">
        <f t="shared" si="29"/>
        <v>7008000</v>
      </c>
      <c r="O86" s="21"/>
      <c r="P86" s="21"/>
      <c r="Q86" s="34">
        <f t="shared" si="30"/>
        <v>18</v>
      </c>
      <c r="R86" s="35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24">
        <v>6.0</v>
      </c>
      <c r="B87" s="25" t="s">
        <v>251</v>
      </c>
      <c r="C87" s="26" t="s">
        <v>252</v>
      </c>
      <c r="D87" s="27" t="s">
        <v>253</v>
      </c>
      <c r="E87" s="26" t="s">
        <v>254</v>
      </c>
      <c r="F87" s="27">
        <v>12.0</v>
      </c>
      <c r="G87" s="28">
        <v>65.0</v>
      </c>
      <c r="H87" s="24">
        <v>7.0</v>
      </c>
      <c r="I87" s="29">
        <v>72.0</v>
      </c>
      <c r="J87" s="30">
        <f t="shared" si="26"/>
        <v>59.04</v>
      </c>
      <c r="K87" s="31">
        <f t="shared" si="27"/>
        <v>72000</v>
      </c>
      <c r="L87" s="32">
        <v>0.15</v>
      </c>
      <c r="M87" s="33">
        <f t="shared" si="28"/>
        <v>61200</v>
      </c>
      <c r="N87" s="20">
        <f t="shared" si="29"/>
        <v>864000</v>
      </c>
      <c r="O87" s="21"/>
      <c r="P87" s="21"/>
      <c r="Q87" s="34">
        <f t="shared" si="30"/>
        <v>5</v>
      </c>
      <c r="R87" s="35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21"/>
      <c r="B88" s="40"/>
      <c r="C88" s="40"/>
      <c r="D88" s="41"/>
      <c r="E88" s="40"/>
      <c r="F88" s="21"/>
      <c r="G88" s="21"/>
      <c r="H88" s="21"/>
      <c r="I88" s="42"/>
      <c r="J88" s="30"/>
      <c r="K88" s="31"/>
      <c r="L88" s="33"/>
      <c r="M88" s="33"/>
      <c r="N88" s="20"/>
      <c r="O88" s="21"/>
      <c r="P88" s="21"/>
      <c r="Q88" s="40"/>
      <c r="R88" s="35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43"/>
      <c r="B89" s="40"/>
      <c r="C89" s="44"/>
      <c r="D89" s="45"/>
      <c r="E89" s="44"/>
      <c r="F89" s="43"/>
      <c r="G89" s="43"/>
      <c r="H89" s="43"/>
      <c r="I89" s="46"/>
      <c r="J89" s="47"/>
      <c r="K89" s="48"/>
      <c r="L89" s="49"/>
      <c r="M89" s="49"/>
      <c r="N89" s="50"/>
      <c r="O89" s="43"/>
      <c r="P89" s="43"/>
      <c r="Q89" s="44"/>
      <c r="R89" s="35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43"/>
      <c r="B90" s="40"/>
      <c r="C90" s="44"/>
      <c r="D90" s="45"/>
      <c r="E90" s="44"/>
      <c r="F90" s="43"/>
      <c r="G90" s="43"/>
      <c r="H90" s="43"/>
      <c r="I90" s="46"/>
      <c r="J90" s="47"/>
      <c r="K90" s="48"/>
      <c r="L90" s="49"/>
      <c r="M90" s="49"/>
      <c r="N90" s="50"/>
      <c r="O90" s="43"/>
      <c r="P90" s="43"/>
      <c r="Q90" s="44"/>
      <c r="R90" s="35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43"/>
      <c r="B91" s="40"/>
      <c r="C91" s="44"/>
      <c r="D91" s="45"/>
      <c r="E91" s="44"/>
      <c r="F91" s="43"/>
      <c r="G91" s="43"/>
      <c r="H91" s="43"/>
      <c r="I91" s="46"/>
      <c r="J91" s="47"/>
      <c r="K91" s="48"/>
      <c r="L91" s="49"/>
      <c r="M91" s="49"/>
      <c r="N91" s="50"/>
      <c r="O91" s="43"/>
      <c r="P91" s="43"/>
      <c r="Q91" s="44"/>
      <c r="R91" s="35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43"/>
      <c r="B92" s="40"/>
      <c r="C92" s="44"/>
      <c r="D92" s="45"/>
      <c r="E92" s="44"/>
      <c r="F92" s="43"/>
      <c r="G92" s="43"/>
      <c r="H92" s="43"/>
      <c r="I92" s="46"/>
      <c r="J92" s="47"/>
      <c r="K92" s="48"/>
      <c r="L92" s="49"/>
      <c r="M92" s="49"/>
      <c r="N92" s="50"/>
      <c r="O92" s="43"/>
      <c r="P92" s="43"/>
      <c r="Q92" s="44"/>
      <c r="R92" s="35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43"/>
      <c r="B93" s="40"/>
      <c r="C93" s="44"/>
      <c r="D93" s="45"/>
      <c r="E93" s="44"/>
      <c r="F93" s="43"/>
      <c r="G93" s="43"/>
      <c r="H93" s="43"/>
      <c r="I93" s="46"/>
      <c r="J93" s="47"/>
      <c r="K93" s="48"/>
      <c r="L93" s="49"/>
      <c r="M93" s="49"/>
      <c r="N93" s="50"/>
      <c r="O93" s="43"/>
      <c r="P93" s="43"/>
      <c r="Q93" s="44"/>
      <c r="R93" s="35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43"/>
      <c r="B94" s="40"/>
      <c r="C94" s="44"/>
      <c r="D94" s="45"/>
      <c r="E94" s="44"/>
      <c r="F94" s="43"/>
      <c r="G94" s="43"/>
      <c r="H94" s="43"/>
      <c r="I94" s="46"/>
      <c r="J94" s="47"/>
      <c r="K94" s="48"/>
      <c r="L94" s="49"/>
      <c r="M94" s="49"/>
      <c r="N94" s="50"/>
      <c r="O94" s="43"/>
      <c r="P94" s="43"/>
      <c r="Q94" s="44"/>
      <c r="R94" s="35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43"/>
      <c r="B95" s="40"/>
      <c r="C95" s="44"/>
      <c r="D95" s="45"/>
      <c r="E95" s="44"/>
      <c r="F95" s="43"/>
      <c r="G95" s="43"/>
      <c r="H95" s="43"/>
      <c r="I95" s="46"/>
      <c r="J95" s="47"/>
      <c r="K95" s="48"/>
      <c r="L95" s="49"/>
      <c r="M95" s="49"/>
      <c r="N95" s="50"/>
      <c r="O95" s="43"/>
      <c r="P95" s="43"/>
      <c r="Q95" s="44"/>
      <c r="R95" s="35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43"/>
      <c r="B96" s="40"/>
      <c r="C96" s="44"/>
      <c r="D96" s="45"/>
      <c r="E96" s="44"/>
      <c r="F96" s="43"/>
      <c r="G96" s="43"/>
      <c r="H96" s="43"/>
      <c r="I96" s="46"/>
      <c r="J96" s="47"/>
      <c r="K96" s="48"/>
      <c r="L96" s="49"/>
      <c r="M96" s="49"/>
      <c r="N96" s="50"/>
      <c r="O96" s="43"/>
      <c r="P96" s="43"/>
      <c r="Q96" s="44"/>
      <c r="R96" s="35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43"/>
      <c r="B97" s="40"/>
      <c r="C97" s="44"/>
      <c r="D97" s="45"/>
      <c r="E97" s="44"/>
      <c r="F97" s="43"/>
      <c r="G97" s="43"/>
      <c r="H97" s="43"/>
      <c r="I97" s="46"/>
      <c r="J97" s="47"/>
      <c r="K97" s="48"/>
      <c r="L97" s="49"/>
      <c r="M97" s="49"/>
      <c r="N97" s="50"/>
      <c r="O97" s="43"/>
      <c r="P97" s="43"/>
      <c r="Q97" s="44"/>
      <c r="R97" s="35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43"/>
      <c r="B98" s="40"/>
      <c r="C98" s="44"/>
      <c r="D98" s="45"/>
      <c r="E98" s="44"/>
      <c r="F98" s="43"/>
      <c r="G98" s="43"/>
      <c r="H98" s="43"/>
      <c r="I98" s="46"/>
      <c r="J98" s="47"/>
      <c r="K98" s="48"/>
      <c r="L98" s="49"/>
      <c r="M98" s="49"/>
      <c r="N98" s="50"/>
      <c r="O98" s="43"/>
      <c r="P98" s="43"/>
      <c r="Q98" s="44"/>
      <c r="R98" s="35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43"/>
      <c r="B99" s="40"/>
      <c r="C99" s="44"/>
      <c r="D99" s="45"/>
      <c r="E99" s="44"/>
      <c r="F99" s="43"/>
      <c r="G99" s="43"/>
      <c r="H99" s="43"/>
      <c r="I99" s="46"/>
      <c r="J99" s="47"/>
      <c r="K99" s="48"/>
      <c r="L99" s="49"/>
      <c r="M99" s="49"/>
      <c r="N99" s="50"/>
      <c r="O99" s="43"/>
      <c r="P99" s="43"/>
      <c r="Q99" s="44"/>
      <c r="R99" s="35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43"/>
      <c r="B100" s="40"/>
      <c r="C100" s="44"/>
      <c r="D100" s="45"/>
      <c r="E100" s="44"/>
      <c r="F100" s="43"/>
      <c r="G100" s="43"/>
      <c r="H100" s="43"/>
      <c r="I100" s="46"/>
      <c r="J100" s="47"/>
      <c r="K100" s="48"/>
      <c r="L100" s="49"/>
      <c r="M100" s="49"/>
      <c r="N100" s="50"/>
      <c r="O100" s="43"/>
      <c r="P100" s="43"/>
      <c r="Q100" s="44"/>
      <c r="R100" s="35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43"/>
      <c r="B101" s="40"/>
      <c r="C101" s="44"/>
      <c r="D101" s="45"/>
      <c r="E101" s="44"/>
      <c r="F101" s="43"/>
      <c r="G101" s="43"/>
      <c r="H101" s="43"/>
      <c r="I101" s="46"/>
      <c r="J101" s="47"/>
      <c r="K101" s="48"/>
      <c r="L101" s="49"/>
      <c r="M101" s="49"/>
      <c r="N101" s="50"/>
      <c r="O101" s="43"/>
      <c r="P101" s="43"/>
      <c r="Q101" s="44"/>
      <c r="R101" s="35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43"/>
      <c r="B102" s="40"/>
      <c r="C102" s="44"/>
      <c r="D102" s="45"/>
      <c r="E102" s="44"/>
      <c r="F102" s="43"/>
      <c r="G102" s="43"/>
      <c r="H102" s="43"/>
      <c r="I102" s="46"/>
      <c r="J102" s="47"/>
      <c r="K102" s="48"/>
      <c r="L102" s="49"/>
      <c r="M102" s="49"/>
      <c r="N102" s="50"/>
      <c r="O102" s="43"/>
      <c r="P102" s="43"/>
      <c r="Q102" s="44"/>
      <c r="R102" s="35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43"/>
      <c r="B103" s="40"/>
      <c r="C103" s="44"/>
      <c r="D103" s="45"/>
      <c r="E103" s="44"/>
      <c r="F103" s="43"/>
      <c r="G103" s="43"/>
      <c r="H103" s="43"/>
      <c r="I103" s="46"/>
      <c r="J103" s="47"/>
      <c r="K103" s="48"/>
      <c r="L103" s="49"/>
      <c r="M103" s="49"/>
      <c r="N103" s="50"/>
      <c r="O103" s="43"/>
      <c r="P103" s="43"/>
      <c r="Q103" s="44"/>
      <c r="R103" s="35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43"/>
      <c r="B104" s="40"/>
      <c r="C104" s="44"/>
      <c r="D104" s="45"/>
      <c r="E104" s="44"/>
      <c r="F104" s="43"/>
      <c r="G104" s="43"/>
      <c r="H104" s="43"/>
      <c r="I104" s="46"/>
      <c r="J104" s="47"/>
      <c r="K104" s="48"/>
      <c r="L104" s="49"/>
      <c r="M104" s="49"/>
      <c r="N104" s="50"/>
      <c r="O104" s="43"/>
      <c r="P104" s="43"/>
      <c r="Q104" s="44"/>
      <c r="R104" s="35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43"/>
      <c r="B105" s="40"/>
      <c r="C105" s="44"/>
      <c r="D105" s="45"/>
      <c r="E105" s="44"/>
      <c r="F105" s="43"/>
      <c r="G105" s="43"/>
      <c r="H105" s="43"/>
      <c r="I105" s="46"/>
      <c r="J105" s="47"/>
      <c r="K105" s="48"/>
      <c r="L105" s="49"/>
      <c r="M105" s="49"/>
      <c r="N105" s="50"/>
      <c r="O105" s="43"/>
      <c r="P105" s="43"/>
      <c r="Q105" s="44"/>
      <c r="R105" s="35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43"/>
      <c r="B106" s="40"/>
      <c r="C106" s="44"/>
      <c r="D106" s="45"/>
      <c r="E106" s="44"/>
      <c r="F106" s="43"/>
      <c r="G106" s="43"/>
      <c r="H106" s="43"/>
      <c r="I106" s="46"/>
      <c r="J106" s="47"/>
      <c r="K106" s="48"/>
      <c r="L106" s="49"/>
      <c r="M106" s="49"/>
      <c r="N106" s="50"/>
      <c r="O106" s="43"/>
      <c r="P106" s="43"/>
      <c r="Q106" s="44"/>
      <c r="R106" s="35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43"/>
      <c r="B107" s="40"/>
      <c r="C107" s="44"/>
      <c r="D107" s="45"/>
      <c r="E107" s="44"/>
      <c r="F107" s="43"/>
      <c r="G107" s="43"/>
      <c r="H107" s="43"/>
      <c r="I107" s="46"/>
      <c r="J107" s="47"/>
      <c r="K107" s="48"/>
      <c r="L107" s="49"/>
      <c r="M107" s="49"/>
      <c r="N107" s="50"/>
      <c r="O107" s="43"/>
      <c r="P107" s="43"/>
      <c r="Q107" s="44"/>
      <c r="R107" s="35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43"/>
      <c r="B108" s="40"/>
      <c r="C108" s="44"/>
      <c r="D108" s="45"/>
      <c r="E108" s="44"/>
      <c r="F108" s="43"/>
      <c r="G108" s="43"/>
      <c r="H108" s="43"/>
      <c r="I108" s="46"/>
      <c r="J108" s="47"/>
      <c r="K108" s="48"/>
      <c r="L108" s="49"/>
      <c r="M108" s="49"/>
      <c r="N108" s="50"/>
      <c r="O108" s="43"/>
      <c r="P108" s="43"/>
      <c r="Q108" s="44"/>
      <c r="R108" s="35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43"/>
      <c r="B109" s="40"/>
      <c r="C109" s="44"/>
      <c r="D109" s="45"/>
      <c r="E109" s="44"/>
      <c r="F109" s="43"/>
      <c r="G109" s="43"/>
      <c r="H109" s="43"/>
      <c r="I109" s="46"/>
      <c r="J109" s="47"/>
      <c r="K109" s="48"/>
      <c r="L109" s="49"/>
      <c r="M109" s="49"/>
      <c r="N109" s="50"/>
      <c r="O109" s="43"/>
      <c r="P109" s="43"/>
      <c r="Q109" s="44"/>
      <c r="R109" s="35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43"/>
      <c r="B110" s="40"/>
      <c r="C110" s="44"/>
      <c r="D110" s="45"/>
      <c r="E110" s="44"/>
      <c r="F110" s="43"/>
      <c r="G110" s="43"/>
      <c r="H110" s="43"/>
      <c r="I110" s="46"/>
      <c r="J110" s="47"/>
      <c r="K110" s="48"/>
      <c r="L110" s="49"/>
      <c r="M110" s="49"/>
      <c r="N110" s="50"/>
      <c r="O110" s="43"/>
      <c r="P110" s="43"/>
      <c r="Q110" s="44"/>
      <c r="R110" s="35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43"/>
      <c r="B111" s="40"/>
      <c r="C111" s="44"/>
      <c r="D111" s="45"/>
      <c r="E111" s="44"/>
      <c r="F111" s="43"/>
      <c r="G111" s="43"/>
      <c r="H111" s="43"/>
      <c r="I111" s="46"/>
      <c r="J111" s="47"/>
      <c r="K111" s="48"/>
      <c r="L111" s="49"/>
      <c r="M111" s="49"/>
      <c r="N111" s="50"/>
      <c r="O111" s="43"/>
      <c r="P111" s="43"/>
      <c r="Q111" s="44"/>
      <c r="R111" s="35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43"/>
      <c r="B112" s="40"/>
      <c r="C112" s="44"/>
      <c r="D112" s="45"/>
      <c r="E112" s="44"/>
      <c r="F112" s="43"/>
      <c r="G112" s="43"/>
      <c r="H112" s="43"/>
      <c r="I112" s="46"/>
      <c r="J112" s="47"/>
      <c r="K112" s="48"/>
      <c r="L112" s="49"/>
      <c r="M112" s="49"/>
      <c r="N112" s="50"/>
      <c r="O112" s="43"/>
      <c r="P112" s="43"/>
      <c r="Q112" s="44"/>
      <c r="R112" s="35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43"/>
      <c r="B113" s="40"/>
      <c r="C113" s="44"/>
      <c r="D113" s="45"/>
      <c r="E113" s="44"/>
      <c r="F113" s="43"/>
      <c r="G113" s="43"/>
      <c r="H113" s="43"/>
      <c r="I113" s="46"/>
      <c r="J113" s="47"/>
      <c r="K113" s="48"/>
      <c r="L113" s="49"/>
      <c r="M113" s="49"/>
      <c r="N113" s="50"/>
      <c r="O113" s="43"/>
      <c r="P113" s="43"/>
      <c r="Q113" s="44"/>
      <c r="R113" s="35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43"/>
      <c r="B114" s="40"/>
      <c r="C114" s="44"/>
      <c r="D114" s="45"/>
      <c r="E114" s="44"/>
      <c r="F114" s="43"/>
      <c r="G114" s="43"/>
      <c r="H114" s="43"/>
      <c r="I114" s="46"/>
      <c r="J114" s="47"/>
      <c r="K114" s="48"/>
      <c r="L114" s="49"/>
      <c r="M114" s="49"/>
      <c r="N114" s="50"/>
      <c r="O114" s="43"/>
      <c r="P114" s="43"/>
      <c r="Q114" s="44"/>
      <c r="R114" s="35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43"/>
      <c r="B115" s="40"/>
      <c r="C115" s="44"/>
      <c r="D115" s="45"/>
      <c r="E115" s="44"/>
      <c r="F115" s="43"/>
      <c r="G115" s="43"/>
      <c r="H115" s="43"/>
      <c r="I115" s="46"/>
      <c r="J115" s="47"/>
      <c r="K115" s="48"/>
      <c r="L115" s="49"/>
      <c r="M115" s="49"/>
      <c r="N115" s="50"/>
      <c r="O115" s="43"/>
      <c r="P115" s="43"/>
      <c r="Q115" s="44"/>
      <c r="R115" s="35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43"/>
      <c r="B116" s="40"/>
      <c r="C116" s="44"/>
      <c r="D116" s="45"/>
      <c r="E116" s="44"/>
      <c r="F116" s="43"/>
      <c r="G116" s="43"/>
      <c r="H116" s="43"/>
      <c r="I116" s="46"/>
      <c r="J116" s="47"/>
      <c r="K116" s="48"/>
      <c r="L116" s="49"/>
      <c r="M116" s="49"/>
      <c r="N116" s="50"/>
      <c r="O116" s="43"/>
      <c r="P116" s="43"/>
      <c r="Q116" s="44"/>
      <c r="R116" s="35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43"/>
      <c r="B117" s="40"/>
      <c r="C117" s="44"/>
      <c r="D117" s="45"/>
      <c r="E117" s="44"/>
      <c r="F117" s="43"/>
      <c r="G117" s="43"/>
      <c r="H117" s="43"/>
      <c r="I117" s="46"/>
      <c r="J117" s="47"/>
      <c r="K117" s="48"/>
      <c r="L117" s="49"/>
      <c r="M117" s="49"/>
      <c r="N117" s="50"/>
      <c r="O117" s="43"/>
      <c r="P117" s="43"/>
      <c r="Q117" s="44"/>
      <c r="R117" s="35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43"/>
      <c r="B118" s="40"/>
      <c r="C118" s="44"/>
      <c r="D118" s="45"/>
      <c r="E118" s="44"/>
      <c r="F118" s="43"/>
      <c r="G118" s="43"/>
      <c r="H118" s="43"/>
      <c r="I118" s="46"/>
      <c r="J118" s="47"/>
      <c r="K118" s="48"/>
      <c r="L118" s="49"/>
      <c r="M118" s="49"/>
      <c r="N118" s="50"/>
      <c r="O118" s="43"/>
      <c r="P118" s="43"/>
      <c r="Q118" s="44"/>
      <c r="R118" s="35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43"/>
      <c r="B119" s="40"/>
      <c r="C119" s="44"/>
      <c r="D119" s="45"/>
      <c r="E119" s="44"/>
      <c r="F119" s="43"/>
      <c r="G119" s="43"/>
      <c r="H119" s="43"/>
      <c r="I119" s="46"/>
      <c r="J119" s="47"/>
      <c r="K119" s="48"/>
      <c r="L119" s="49"/>
      <c r="M119" s="49"/>
      <c r="N119" s="50"/>
      <c r="O119" s="43"/>
      <c r="P119" s="43"/>
      <c r="Q119" s="44"/>
      <c r="R119" s="35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43"/>
      <c r="B120" s="40"/>
      <c r="C120" s="44"/>
      <c r="D120" s="45"/>
      <c r="E120" s="44"/>
      <c r="F120" s="43"/>
      <c r="G120" s="43"/>
      <c r="H120" s="43"/>
      <c r="I120" s="46"/>
      <c r="J120" s="47"/>
      <c r="K120" s="48"/>
      <c r="L120" s="49"/>
      <c r="M120" s="49"/>
      <c r="N120" s="50"/>
      <c r="O120" s="43"/>
      <c r="P120" s="43"/>
      <c r="Q120" s="44"/>
      <c r="R120" s="35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43"/>
      <c r="B121" s="40"/>
      <c r="C121" s="44"/>
      <c r="D121" s="45"/>
      <c r="E121" s="44"/>
      <c r="F121" s="43"/>
      <c r="G121" s="43"/>
      <c r="H121" s="43"/>
      <c r="I121" s="46"/>
      <c r="J121" s="47"/>
      <c r="K121" s="48"/>
      <c r="L121" s="49"/>
      <c r="M121" s="49"/>
      <c r="N121" s="50"/>
      <c r="O121" s="43"/>
      <c r="P121" s="43"/>
      <c r="Q121" s="44"/>
      <c r="R121" s="35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43"/>
      <c r="B122" s="40"/>
      <c r="C122" s="44"/>
      <c r="D122" s="45"/>
      <c r="E122" s="44"/>
      <c r="F122" s="43"/>
      <c r="G122" s="43"/>
      <c r="H122" s="43"/>
      <c r="I122" s="46"/>
      <c r="J122" s="47"/>
      <c r="K122" s="48"/>
      <c r="L122" s="49"/>
      <c r="M122" s="49"/>
      <c r="N122" s="50"/>
      <c r="O122" s="43"/>
      <c r="P122" s="43"/>
      <c r="Q122" s="44"/>
      <c r="R122" s="35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43"/>
      <c r="B123" s="40"/>
      <c r="C123" s="44"/>
      <c r="D123" s="45"/>
      <c r="E123" s="44"/>
      <c r="F123" s="43"/>
      <c r="G123" s="43"/>
      <c r="H123" s="43"/>
      <c r="I123" s="46"/>
      <c r="J123" s="47"/>
      <c r="K123" s="48"/>
      <c r="L123" s="49"/>
      <c r="M123" s="49"/>
      <c r="N123" s="50"/>
      <c r="O123" s="43"/>
      <c r="P123" s="43"/>
      <c r="Q123" s="44"/>
      <c r="R123" s="35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43"/>
      <c r="B124" s="40"/>
      <c r="C124" s="44"/>
      <c r="D124" s="45"/>
      <c r="E124" s="44"/>
      <c r="F124" s="43"/>
      <c r="G124" s="43"/>
      <c r="H124" s="43"/>
      <c r="I124" s="46"/>
      <c r="J124" s="47"/>
      <c r="K124" s="48"/>
      <c r="L124" s="49"/>
      <c r="M124" s="49"/>
      <c r="N124" s="50"/>
      <c r="O124" s="43"/>
      <c r="P124" s="43"/>
      <c r="Q124" s="44"/>
      <c r="R124" s="35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43"/>
      <c r="B125" s="40"/>
      <c r="C125" s="44"/>
      <c r="D125" s="45"/>
      <c r="E125" s="44"/>
      <c r="F125" s="43"/>
      <c r="G125" s="43"/>
      <c r="H125" s="43"/>
      <c r="I125" s="46"/>
      <c r="J125" s="47"/>
      <c r="K125" s="48"/>
      <c r="L125" s="49"/>
      <c r="M125" s="49"/>
      <c r="N125" s="50"/>
      <c r="O125" s="43"/>
      <c r="P125" s="43"/>
      <c r="Q125" s="44"/>
      <c r="R125" s="35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43"/>
      <c r="B126" s="40"/>
      <c r="C126" s="44"/>
      <c r="D126" s="45"/>
      <c r="E126" s="44"/>
      <c r="F126" s="43"/>
      <c r="G126" s="43"/>
      <c r="H126" s="43"/>
      <c r="I126" s="46"/>
      <c r="J126" s="47"/>
      <c r="K126" s="48"/>
      <c r="L126" s="49"/>
      <c r="M126" s="49"/>
      <c r="N126" s="50"/>
      <c r="O126" s="43"/>
      <c r="P126" s="43"/>
      <c r="Q126" s="44"/>
      <c r="R126" s="35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43"/>
      <c r="B127" s="40"/>
      <c r="C127" s="44"/>
      <c r="D127" s="45"/>
      <c r="E127" s="44"/>
      <c r="F127" s="43"/>
      <c r="G127" s="43"/>
      <c r="H127" s="43"/>
      <c r="I127" s="46"/>
      <c r="J127" s="47"/>
      <c r="K127" s="48"/>
      <c r="L127" s="49"/>
      <c r="M127" s="49"/>
      <c r="N127" s="50"/>
      <c r="O127" s="43"/>
      <c r="P127" s="43"/>
      <c r="Q127" s="44"/>
      <c r="R127" s="35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43"/>
      <c r="B128" s="40"/>
      <c r="C128" s="44"/>
      <c r="D128" s="45"/>
      <c r="E128" s="44"/>
      <c r="F128" s="43"/>
      <c r="G128" s="43"/>
      <c r="H128" s="43"/>
      <c r="I128" s="46"/>
      <c r="J128" s="47"/>
      <c r="K128" s="48"/>
      <c r="L128" s="49"/>
      <c r="M128" s="49"/>
      <c r="N128" s="50"/>
      <c r="O128" s="43"/>
      <c r="P128" s="43"/>
      <c r="Q128" s="44"/>
      <c r="R128" s="35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43"/>
      <c r="B129" s="40"/>
      <c r="C129" s="44"/>
      <c r="D129" s="45"/>
      <c r="E129" s="44"/>
      <c r="F129" s="43"/>
      <c r="G129" s="43"/>
      <c r="H129" s="43"/>
      <c r="I129" s="46"/>
      <c r="J129" s="47"/>
      <c r="K129" s="48"/>
      <c r="L129" s="49"/>
      <c r="M129" s="49"/>
      <c r="N129" s="50"/>
      <c r="O129" s="43"/>
      <c r="P129" s="43"/>
      <c r="Q129" s="44"/>
      <c r="R129" s="35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43"/>
      <c r="B130" s="40"/>
      <c r="C130" s="44"/>
      <c r="D130" s="45"/>
      <c r="E130" s="44"/>
      <c r="F130" s="43"/>
      <c r="G130" s="43"/>
      <c r="H130" s="43"/>
      <c r="I130" s="46"/>
      <c r="J130" s="47"/>
      <c r="K130" s="48"/>
      <c r="L130" s="49"/>
      <c r="M130" s="49"/>
      <c r="N130" s="50"/>
      <c r="O130" s="43"/>
      <c r="P130" s="43"/>
      <c r="Q130" s="44"/>
      <c r="R130" s="35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43"/>
      <c r="B131" s="40"/>
      <c r="C131" s="44"/>
      <c r="D131" s="45"/>
      <c r="E131" s="44"/>
      <c r="F131" s="43"/>
      <c r="G131" s="43"/>
      <c r="H131" s="43"/>
      <c r="I131" s="46"/>
      <c r="J131" s="47"/>
      <c r="K131" s="48"/>
      <c r="L131" s="49"/>
      <c r="M131" s="49"/>
      <c r="N131" s="50"/>
      <c r="O131" s="43"/>
      <c r="P131" s="43"/>
      <c r="Q131" s="44"/>
      <c r="R131" s="35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43"/>
      <c r="B132" s="40"/>
      <c r="C132" s="44"/>
      <c r="D132" s="45"/>
      <c r="E132" s="44"/>
      <c r="F132" s="43"/>
      <c r="G132" s="43"/>
      <c r="H132" s="43"/>
      <c r="I132" s="46"/>
      <c r="J132" s="47"/>
      <c r="K132" s="48"/>
      <c r="L132" s="49"/>
      <c r="M132" s="49"/>
      <c r="N132" s="50"/>
      <c r="O132" s="43"/>
      <c r="P132" s="43"/>
      <c r="Q132" s="44"/>
      <c r="R132" s="35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43"/>
      <c r="B133" s="40"/>
      <c r="C133" s="44"/>
      <c r="D133" s="45"/>
      <c r="E133" s="44"/>
      <c r="F133" s="43"/>
      <c r="G133" s="43"/>
      <c r="H133" s="43"/>
      <c r="I133" s="46"/>
      <c r="J133" s="47"/>
      <c r="K133" s="48"/>
      <c r="L133" s="49"/>
      <c r="M133" s="49"/>
      <c r="N133" s="50"/>
      <c r="O133" s="43"/>
      <c r="P133" s="43"/>
      <c r="Q133" s="44"/>
      <c r="R133" s="35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43"/>
      <c r="B134" s="40"/>
      <c r="C134" s="44"/>
      <c r="D134" s="45"/>
      <c r="E134" s="44"/>
      <c r="F134" s="43"/>
      <c r="G134" s="43"/>
      <c r="H134" s="43"/>
      <c r="I134" s="46"/>
      <c r="J134" s="47"/>
      <c r="K134" s="48"/>
      <c r="L134" s="49"/>
      <c r="M134" s="49"/>
      <c r="N134" s="50"/>
      <c r="O134" s="43"/>
      <c r="P134" s="43"/>
      <c r="Q134" s="44"/>
      <c r="R134" s="35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43"/>
      <c r="B135" s="40"/>
      <c r="C135" s="44"/>
      <c r="D135" s="45"/>
      <c r="E135" s="44"/>
      <c r="F135" s="43"/>
      <c r="G135" s="43"/>
      <c r="H135" s="43"/>
      <c r="I135" s="46"/>
      <c r="J135" s="47"/>
      <c r="K135" s="48"/>
      <c r="L135" s="49"/>
      <c r="M135" s="49"/>
      <c r="N135" s="50"/>
      <c r="O135" s="43"/>
      <c r="P135" s="43"/>
      <c r="Q135" s="44"/>
      <c r="R135" s="35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43"/>
      <c r="B136" s="40"/>
      <c r="C136" s="44"/>
      <c r="D136" s="45"/>
      <c r="E136" s="44"/>
      <c r="F136" s="43"/>
      <c r="G136" s="43"/>
      <c r="H136" s="43"/>
      <c r="I136" s="46"/>
      <c r="J136" s="47"/>
      <c r="K136" s="48"/>
      <c r="L136" s="49"/>
      <c r="M136" s="49"/>
      <c r="N136" s="50"/>
      <c r="O136" s="43"/>
      <c r="P136" s="43"/>
      <c r="Q136" s="44"/>
      <c r="R136" s="35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43"/>
      <c r="B137" s="40"/>
      <c r="C137" s="44"/>
      <c r="D137" s="45"/>
      <c r="E137" s="44"/>
      <c r="F137" s="43"/>
      <c r="G137" s="43"/>
      <c r="H137" s="43"/>
      <c r="I137" s="46"/>
      <c r="J137" s="47"/>
      <c r="K137" s="48"/>
      <c r="L137" s="49"/>
      <c r="M137" s="49"/>
      <c r="N137" s="50"/>
      <c r="O137" s="43"/>
      <c r="P137" s="43"/>
      <c r="Q137" s="44"/>
      <c r="R137" s="35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43"/>
      <c r="B138" s="40"/>
      <c r="C138" s="44"/>
      <c r="D138" s="45"/>
      <c r="E138" s="44"/>
      <c r="F138" s="43"/>
      <c r="G138" s="43"/>
      <c r="H138" s="43"/>
      <c r="I138" s="46"/>
      <c r="J138" s="47"/>
      <c r="K138" s="48"/>
      <c r="L138" s="49"/>
      <c r="M138" s="49"/>
      <c r="N138" s="50"/>
      <c r="O138" s="43"/>
      <c r="P138" s="43"/>
      <c r="Q138" s="44"/>
      <c r="R138" s="35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43"/>
      <c r="B139" s="40"/>
      <c r="C139" s="44"/>
      <c r="D139" s="45"/>
      <c r="E139" s="44"/>
      <c r="F139" s="43"/>
      <c r="G139" s="43"/>
      <c r="H139" s="43"/>
      <c r="I139" s="46"/>
      <c r="J139" s="47"/>
      <c r="K139" s="48"/>
      <c r="L139" s="49"/>
      <c r="M139" s="49"/>
      <c r="N139" s="50"/>
      <c r="O139" s="43"/>
      <c r="P139" s="43"/>
      <c r="Q139" s="44"/>
      <c r="R139" s="35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43"/>
      <c r="B140" s="40"/>
      <c r="C140" s="44"/>
      <c r="D140" s="45"/>
      <c r="E140" s="44"/>
      <c r="F140" s="43"/>
      <c r="G140" s="43"/>
      <c r="H140" s="43"/>
      <c r="I140" s="46"/>
      <c r="J140" s="47"/>
      <c r="K140" s="48"/>
      <c r="L140" s="49"/>
      <c r="M140" s="49"/>
      <c r="N140" s="50"/>
      <c r="O140" s="43"/>
      <c r="P140" s="43"/>
      <c r="Q140" s="44"/>
      <c r="R140" s="35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43"/>
      <c r="B141" s="40"/>
      <c r="C141" s="44"/>
      <c r="D141" s="45"/>
      <c r="E141" s="44"/>
      <c r="F141" s="43"/>
      <c r="G141" s="43"/>
      <c r="H141" s="43"/>
      <c r="I141" s="46"/>
      <c r="J141" s="47"/>
      <c r="K141" s="48"/>
      <c r="L141" s="49"/>
      <c r="M141" s="49"/>
      <c r="N141" s="50"/>
      <c r="O141" s="43"/>
      <c r="P141" s="43"/>
      <c r="Q141" s="44"/>
      <c r="R141" s="35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43"/>
      <c r="B142" s="40"/>
      <c r="C142" s="44"/>
      <c r="D142" s="45"/>
      <c r="E142" s="44"/>
      <c r="F142" s="43"/>
      <c r="G142" s="43"/>
      <c r="H142" s="43"/>
      <c r="I142" s="46"/>
      <c r="J142" s="47"/>
      <c r="K142" s="48"/>
      <c r="L142" s="49"/>
      <c r="M142" s="49"/>
      <c r="N142" s="50"/>
      <c r="O142" s="43"/>
      <c r="P142" s="43"/>
      <c r="Q142" s="44"/>
      <c r="R142" s="35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43"/>
      <c r="B143" s="40"/>
      <c r="C143" s="44"/>
      <c r="D143" s="45"/>
      <c r="E143" s="44"/>
      <c r="F143" s="43"/>
      <c r="G143" s="43"/>
      <c r="H143" s="43"/>
      <c r="I143" s="46"/>
      <c r="J143" s="47"/>
      <c r="K143" s="48"/>
      <c r="L143" s="49"/>
      <c r="M143" s="49"/>
      <c r="N143" s="50"/>
      <c r="O143" s="43"/>
      <c r="P143" s="43"/>
      <c r="Q143" s="44"/>
      <c r="R143" s="35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43"/>
      <c r="B144" s="40"/>
      <c r="C144" s="44"/>
      <c r="D144" s="45"/>
      <c r="E144" s="44"/>
      <c r="F144" s="43"/>
      <c r="G144" s="43"/>
      <c r="H144" s="43"/>
      <c r="I144" s="46"/>
      <c r="J144" s="47"/>
      <c r="K144" s="48"/>
      <c r="L144" s="49"/>
      <c r="M144" s="49"/>
      <c r="N144" s="50"/>
      <c r="O144" s="43"/>
      <c r="P144" s="43"/>
      <c r="Q144" s="44"/>
      <c r="R144" s="35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43"/>
      <c r="B145" s="40"/>
      <c r="C145" s="44"/>
      <c r="D145" s="45"/>
      <c r="E145" s="44"/>
      <c r="F145" s="43"/>
      <c r="G145" s="43"/>
      <c r="H145" s="43"/>
      <c r="I145" s="46"/>
      <c r="J145" s="47"/>
      <c r="K145" s="48"/>
      <c r="L145" s="49"/>
      <c r="M145" s="49"/>
      <c r="N145" s="50"/>
      <c r="O145" s="43"/>
      <c r="P145" s="43"/>
      <c r="Q145" s="44"/>
      <c r="R145" s="35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43"/>
      <c r="B146" s="40"/>
      <c r="C146" s="44"/>
      <c r="D146" s="45"/>
      <c r="E146" s="44"/>
      <c r="F146" s="43"/>
      <c r="G146" s="43"/>
      <c r="H146" s="43"/>
      <c r="I146" s="46"/>
      <c r="J146" s="47"/>
      <c r="K146" s="48"/>
      <c r="L146" s="49"/>
      <c r="M146" s="49"/>
      <c r="N146" s="50"/>
      <c r="O146" s="43"/>
      <c r="P146" s="43"/>
      <c r="Q146" s="44"/>
      <c r="R146" s="35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43"/>
      <c r="B147" s="40"/>
      <c r="C147" s="44"/>
      <c r="D147" s="45"/>
      <c r="E147" s="44"/>
      <c r="F147" s="43"/>
      <c r="G147" s="43"/>
      <c r="H147" s="43"/>
      <c r="I147" s="46"/>
      <c r="J147" s="47"/>
      <c r="K147" s="48"/>
      <c r="L147" s="49"/>
      <c r="M147" s="49"/>
      <c r="N147" s="50"/>
      <c r="O147" s="43"/>
      <c r="P147" s="43"/>
      <c r="Q147" s="44"/>
      <c r="R147" s="35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43"/>
      <c r="B148" s="40"/>
      <c r="C148" s="44"/>
      <c r="D148" s="45"/>
      <c r="E148" s="44"/>
      <c r="F148" s="43"/>
      <c r="G148" s="43"/>
      <c r="H148" s="43"/>
      <c r="I148" s="46"/>
      <c r="J148" s="47"/>
      <c r="K148" s="48"/>
      <c r="L148" s="49"/>
      <c r="M148" s="49"/>
      <c r="N148" s="50"/>
      <c r="O148" s="43"/>
      <c r="P148" s="43"/>
      <c r="Q148" s="44"/>
      <c r="R148" s="35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43"/>
      <c r="B149" s="40"/>
      <c r="C149" s="44"/>
      <c r="D149" s="45"/>
      <c r="E149" s="44"/>
      <c r="F149" s="43"/>
      <c r="G149" s="43"/>
      <c r="H149" s="43"/>
      <c r="I149" s="46"/>
      <c r="J149" s="47"/>
      <c r="K149" s="48"/>
      <c r="L149" s="49"/>
      <c r="M149" s="49"/>
      <c r="N149" s="50"/>
      <c r="O149" s="43"/>
      <c r="P149" s="43"/>
      <c r="Q149" s="44"/>
      <c r="R149" s="35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43"/>
      <c r="B150" s="40"/>
      <c r="C150" s="44"/>
      <c r="D150" s="45"/>
      <c r="E150" s="44"/>
      <c r="F150" s="43"/>
      <c r="G150" s="43"/>
      <c r="H150" s="43"/>
      <c r="I150" s="46"/>
      <c r="J150" s="47"/>
      <c r="K150" s="48"/>
      <c r="L150" s="49"/>
      <c r="M150" s="49"/>
      <c r="N150" s="50"/>
      <c r="O150" s="43"/>
      <c r="P150" s="43"/>
      <c r="Q150" s="44"/>
      <c r="R150" s="35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43"/>
      <c r="B151" s="40"/>
      <c r="C151" s="44"/>
      <c r="D151" s="45"/>
      <c r="E151" s="44"/>
      <c r="F151" s="43"/>
      <c r="G151" s="43"/>
      <c r="H151" s="43"/>
      <c r="I151" s="46"/>
      <c r="J151" s="47"/>
      <c r="K151" s="48"/>
      <c r="L151" s="49"/>
      <c r="M151" s="49"/>
      <c r="N151" s="50"/>
      <c r="O151" s="43"/>
      <c r="P151" s="43"/>
      <c r="Q151" s="44"/>
      <c r="R151" s="35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43"/>
      <c r="B152" s="40"/>
      <c r="C152" s="44"/>
      <c r="D152" s="45"/>
      <c r="E152" s="44"/>
      <c r="F152" s="43"/>
      <c r="G152" s="43"/>
      <c r="H152" s="43"/>
      <c r="I152" s="46"/>
      <c r="J152" s="47"/>
      <c r="K152" s="48"/>
      <c r="L152" s="49"/>
      <c r="M152" s="49"/>
      <c r="N152" s="50"/>
      <c r="O152" s="43"/>
      <c r="P152" s="43"/>
      <c r="Q152" s="44"/>
      <c r="R152" s="35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43"/>
      <c r="B153" s="40"/>
      <c r="C153" s="44"/>
      <c r="D153" s="45"/>
      <c r="E153" s="44"/>
      <c r="F153" s="43"/>
      <c r="G153" s="43"/>
      <c r="H153" s="43"/>
      <c r="I153" s="46"/>
      <c r="J153" s="47"/>
      <c r="K153" s="48"/>
      <c r="L153" s="49"/>
      <c r="M153" s="49"/>
      <c r="N153" s="50"/>
      <c r="O153" s="43"/>
      <c r="P153" s="43"/>
      <c r="Q153" s="44"/>
      <c r="R153" s="35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43"/>
      <c r="B154" s="40"/>
      <c r="C154" s="44"/>
      <c r="D154" s="45"/>
      <c r="E154" s="44"/>
      <c r="F154" s="43"/>
      <c r="G154" s="43"/>
      <c r="H154" s="43"/>
      <c r="I154" s="46"/>
      <c r="J154" s="47"/>
      <c r="K154" s="48"/>
      <c r="L154" s="49"/>
      <c r="M154" s="49"/>
      <c r="N154" s="50"/>
      <c r="O154" s="43"/>
      <c r="P154" s="43"/>
      <c r="Q154" s="44"/>
      <c r="R154" s="35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43"/>
      <c r="B155" s="40"/>
      <c r="C155" s="44"/>
      <c r="D155" s="45"/>
      <c r="E155" s="44"/>
      <c r="F155" s="43"/>
      <c r="G155" s="43"/>
      <c r="H155" s="43"/>
      <c r="I155" s="46"/>
      <c r="J155" s="47"/>
      <c r="K155" s="48"/>
      <c r="L155" s="49"/>
      <c r="M155" s="49"/>
      <c r="N155" s="50"/>
      <c r="O155" s="43"/>
      <c r="P155" s="43"/>
      <c r="Q155" s="44"/>
      <c r="R155" s="35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43"/>
      <c r="B156" s="40"/>
      <c r="C156" s="44"/>
      <c r="D156" s="45"/>
      <c r="E156" s="44"/>
      <c r="F156" s="43"/>
      <c r="G156" s="43"/>
      <c r="H156" s="43"/>
      <c r="I156" s="46"/>
      <c r="J156" s="47"/>
      <c r="K156" s="48"/>
      <c r="L156" s="49"/>
      <c r="M156" s="49"/>
      <c r="N156" s="50"/>
      <c r="O156" s="43"/>
      <c r="P156" s="43"/>
      <c r="Q156" s="44"/>
      <c r="R156" s="35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43"/>
      <c r="B157" s="40"/>
      <c r="C157" s="44"/>
      <c r="D157" s="45"/>
      <c r="E157" s="44"/>
      <c r="F157" s="43"/>
      <c r="G157" s="43"/>
      <c r="H157" s="43"/>
      <c r="I157" s="46"/>
      <c r="J157" s="47"/>
      <c r="K157" s="48"/>
      <c r="L157" s="49"/>
      <c r="M157" s="49"/>
      <c r="N157" s="50"/>
      <c r="O157" s="43"/>
      <c r="P157" s="43"/>
      <c r="Q157" s="44"/>
      <c r="R157" s="35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43"/>
      <c r="B158" s="40"/>
      <c r="C158" s="44"/>
      <c r="D158" s="45"/>
      <c r="E158" s="44"/>
      <c r="F158" s="43"/>
      <c r="G158" s="43"/>
      <c r="H158" s="43"/>
      <c r="I158" s="46"/>
      <c r="J158" s="47"/>
      <c r="K158" s="48"/>
      <c r="L158" s="49"/>
      <c r="M158" s="49"/>
      <c r="N158" s="50"/>
      <c r="O158" s="43"/>
      <c r="P158" s="43"/>
      <c r="Q158" s="44"/>
      <c r="R158" s="35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43"/>
      <c r="B159" s="40"/>
      <c r="C159" s="44"/>
      <c r="D159" s="45"/>
      <c r="E159" s="44"/>
      <c r="F159" s="43"/>
      <c r="G159" s="43"/>
      <c r="H159" s="43"/>
      <c r="I159" s="46"/>
      <c r="J159" s="47"/>
      <c r="K159" s="48"/>
      <c r="L159" s="49"/>
      <c r="M159" s="49"/>
      <c r="N159" s="50"/>
      <c r="O159" s="43"/>
      <c r="P159" s="43"/>
      <c r="Q159" s="44"/>
      <c r="R159" s="35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43"/>
      <c r="B160" s="40"/>
      <c r="C160" s="44"/>
      <c r="D160" s="45"/>
      <c r="E160" s="44"/>
      <c r="F160" s="43"/>
      <c r="G160" s="43"/>
      <c r="H160" s="43"/>
      <c r="I160" s="46"/>
      <c r="J160" s="47"/>
      <c r="K160" s="48"/>
      <c r="L160" s="49"/>
      <c r="M160" s="49"/>
      <c r="N160" s="50"/>
      <c r="O160" s="43"/>
      <c r="P160" s="43"/>
      <c r="Q160" s="44"/>
      <c r="R160" s="35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43"/>
      <c r="B161" s="40"/>
      <c r="C161" s="44"/>
      <c r="D161" s="45"/>
      <c r="E161" s="44"/>
      <c r="F161" s="43"/>
      <c r="G161" s="43"/>
      <c r="H161" s="43"/>
      <c r="I161" s="46"/>
      <c r="J161" s="47"/>
      <c r="K161" s="48"/>
      <c r="L161" s="49"/>
      <c r="M161" s="49"/>
      <c r="N161" s="50"/>
      <c r="O161" s="43"/>
      <c r="P161" s="43"/>
      <c r="Q161" s="44"/>
      <c r="R161" s="35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43"/>
      <c r="B162" s="40"/>
      <c r="C162" s="44"/>
      <c r="D162" s="45"/>
      <c r="E162" s="44"/>
      <c r="F162" s="43"/>
      <c r="G162" s="43"/>
      <c r="H162" s="43"/>
      <c r="I162" s="46"/>
      <c r="J162" s="47"/>
      <c r="K162" s="48"/>
      <c r="L162" s="49"/>
      <c r="M162" s="49"/>
      <c r="N162" s="50"/>
      <c r="O162" s="43"/>
      <c r="P162" s="43"/>
      <c r="Q162" s="44"/>
      <c r="R162" s="35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43"/>
      <c r="B163" s="40"/>
      <c r="C163" s="44"/>
      <c r="D163" s="45"/>
      <c r="E163" s="44"/>
      <c r="F163" s="43"/>
      <c r="G163" s="43"/>
      <c r="H163" s="43"/>
      <c r="I163" s="46"/>
      <c r="J163" s="47"/>
      <c r="K163" s="48"/>
      <c r="L163" s="49"/>
      <c r="M163" s="49"/>
      <c r="N163" s="50"/>
      <c r="O163" s="43"/>
      <c r="P163" s="43"/>
      <c r="Q163" s="44"/>
      <c r="R163" s="35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43"/>
      <c r="B164" s="40"/>
      <c r="C164" s="44"/>
      <c r="D164" s="45"/>
      <c r="E164" s="44"/>
      <c r="F164" s="43"/>
      <c r="G164" s="43"/>
      <c r="H164" s="43"/>
      <c r="I164" s="46"/>
      <c r="J164" s="47"/>
      <c r="K164" s="48"/>
      <c r="L164" s="49"/>
      <c r="M164" s="49"/>
      <c r="N164" s="50"/>
      <c r="O164" s="43"/>
      <c r="P164" s="43"/>
      <c r="Q164" s="44"/>
      <c r="R164" s="35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43"/>
      <c r="B165" s="40"/>
      <c r="C165" s="44"/>
      <c r="D165" s="45"/>
      <c r="E165" s="44"/>
      <c r="F165" s="43"/>
      <c r="G165" s="43"/>
      <c r="H165" s="43"/>
      <c r="I165" s="46"/>
      <c r="J165" s="47"/>
      <c r="K165" s="48"/>
      <c r="L165" s="49"/>
      <c r="M165" s="49"/>
      <c r="N165" s="50"/>
      <c r="O165" s="43"/>
      <c r="P165" s="43"/>
      <c r="Q165" s="44"/>
      <c r="R165" s="35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43"/>
      <c r="B166" s="40"/>
      <c r="C166" s="44"/>
      <c r="D166" s="45"/>
      <c r="E166" s="44"/>
      <c r="F166" s="43"/>
      <c r="G166" s="43"/>
      <c r="H166" s="43"/>
      <c r="I166" s="46"/>
      <c r="J166" s="47"/>
      <c r="K166" s="48"/>
      <c r="L166" s="49"/>
      <c r="M166" s="49"/>
      <c r="N166" s="50"/>
      <c r="O166" s="43"/>
      <c r="P166" s="43"/>
      <c r="Q166" s="44"/>
      <c r="R166" s="35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43"/>
      <c r="B167" s="40"/>
      <c r="C167" s="44"/>
      <c r="D167" s="45"/>
      <c r="E167" s="44"/>
      <c r="F167" s="43"/>
      <c r="G167" s="43"/>
      <c r="H167" s="43"/>
      <c r="I167" s="46"/>
      <c r="J167" s="47"/>
      <c r="K167" s="48"/>
      <c r="L167" s="49"/>
      <c r="M167" s="49"/>
      <c r="N167" s="50"/>
      <c r="O167" s="43"/>
      <c r="P167" s="43"/>
      <c r="Q167" s="44"/>
      <c r="R167" s="35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43"/>
      <c r="B168" s="40"/>
      <c r="C168" s="44"/>
      <c r="D168" s="45"/>
      <c r="E168" s="44"/>
      <c r="F168" s="43"/>
      <c r="G168" s="43"/>
      <c r="H168" s="43"/>
      <c r="I168" s="46"/>
      <c r="J168" s="47"/>
      <c r="K168" s="48"/>
      <c r="L168" s="49"/>
      <c r="M168" s="49"/>
      <c r="N168" s="50"/>
      <c r="O168" s="43"/>
      <c r="P168" s="43"/>
      <c r="Q168" s="44"/>
      <c r="R168" s="35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43"/>
      <c r="B169" s="40"/>
      <c r="C169" s="44"/>
      <c r="D169" s="45"/>
      <c r="E169" s="44"/>
      <c r="F169" s="43"/>
      <c r="G169" s="43"/>
      <c r="H169" s="43"/>
      <c r="I169" s="46"/>
      <c r="J169" s="47"/>
      <c r="K169" s="48"/>
      <c r="L169" s="49"/>
      <c r="M169" s="49"/>
      <c r="N169" s="50"/>
      <c r="O169" s="43"/>
      <c r="P169" s="43"/>
      <c r="Q169" s="44"/>
      <c r="R169" s="35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43"/>
      <c r="B170" s="40"/>
      <c r="C170" s="44"/>
      <c r="D170" s="45"/>
      <c r="E170" s="44"/>
      <c r="F170" s="43"/>
      <c r="G170" s="43"/>
      <c r="H170" s="43"/>
      <c r="I170" s="46"/>
      <c r="J170" s="47"/>
      <c r="K170" s="48"/>
      <c r="L170" s="49"/>
      <c r="M170" s="49"/>
      <c r="N170" s="50"/>
      <c r="O170" s="43"/>
      <c r="P170" s="43"/>
      <c r="Q170" s="44"/>
      <c r="R170" s="35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43"/>
      <c r="B171" s="40"/>
      <c r="C171" s="44"/>
      <c r="D171" s="45"/>
      <c r="E171" s="44"/>
      <c r="F171" s="43"/>
      <c r="G171" s="43"/>
      <c r="H171" s="43"/>
      <c r="I171" s="46"/>
      <c r="J171" s="47"/>
      <c r="K171" s="48"/>
      <c r="L171" s="49"/>
      <c r="M171" s="49"/>
      <c r="N171" s="50"/>
      <c r="O171" s="43"/>
      <c r="P171" s="43"/>
      <c r="Q171" s="44"/>
      <c r="R171" s="35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43"/>
      <c r="B172" s="40"/>
      <c r="C172" s="44"/>
      <c r="D172" s="45"/>
      <c r="E172" s="44"/>
      <c r="F172" s="43"/>
      <c r="G172" s="43"/>
      <c r="H172" s="43"/>
      <c r="I172" s="46"/>
      <c r="J172" s="47"/>
      <c r="K172" s="48"/>
      <c r="L172" s="49"/>
      <c r="M172" s="49"/>
      <c r="N172" s="50"/>
      <c r="O172" s="43"/>
      <c r="P172" s="43"/>
      <c r="Q172" s="44"/>
      <c r="R172" s="35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43"/>
      <c r="B173" s="40"/>
      <c r="C173" s="44"/>
      <c r="D173" s="45"/>
      <c r="E173" s="44"/>
      <c r="F173" s="43"/>
      <c r="G173" s="43"/>
      <c r="H173" s="43"/>
      <c r="I173" s="46"/>
      <c r="J173" s="47"/>
      <c r="K173" s="48"/>
      <c r="L173" s="49"/>
      <c r="M173" s="49"/>
      <c r="N173" s="50"/>
      <c r="O173" s="43"/>
      <c r="P173" s="43"/>
      <c r="Q173" s="44"/>
      <c r="R173" s="35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43"/>
      <c r="B174" s="40"/>
      <c r="C174" s="44"/>
      <c r="D174" s="45"/>
      <c r="E174" s="44"/>
      <c r="F174" s="43"/>
      <c r="G174" s="43"/>
      <c r="H174" s="43"/>
      <c r="I174" s="46"/>
      <c r="J174" s="47"/>
      <c r="K174" s="48"/>
      <c r="L174" s="49"/>
      <c r="M174" s="49"/>
      <c r="N174" s="50"/>
      <c r="O174" s="43"/>
      <c r="P174" s="43"/>
      <c r="Q174" s="44"/>
      <c r="R174" s="35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43"/>
      <c r="B175" s="40"/>
      <c r="C175" s="44"/>
      <c r="D175" s="45"/>
      <c r="E175" s="44"/>
      <c r="F175" s="43"/>
      <c r="G175" s="43"/>
      <c r="H175" s="43"/>
      <c r="I175" s="46"/>
      <c r="J175" s="47"/>
      <c r="K175" s="48"/>
      <c r="L175" s="49"/>
      <c r="M175" s="49"/>
      <c r="N175" s="50"/>
      <c r="O175" s="43"/>
      <c r="P175" s="43"/>
      <c r="Q175" s="44"/>
      <c r="R175" s="35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43"/>
      <c r="B176" s="40"/>
      <c r="C176" s="44"/>
      <c r="D176" s="45"/>
      <c r="E176" s="44"/>
      <c r="F176" s="43"/>
      <c r="G176" s="43"/>
      <c r="H176" s="43"/>
      <c r="I176" s="46"/>
      <c r="J176" s="47"/>
      <c r="K176" s="48"/>
      <c r="L176" s="49"/>
      <c r="M176" s="49"/>
      <c r="N176" s="50"/>
      <c r="O176" s="43"/>
      <c r="P176" s="43"/>
      <c r="Q176" s="44"/>
      <c r="R176" s="35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43"/>
      <c r="B177" s="40"/>
      <c r="C177" s="44"/>
      <c r="D177" s="45"/>
      <c r="E177" s="44"/>
      <c r="F177" s="43"/>
      <c r="G177" s="43"/>
      <c r="H177" s="43"/>
      <c r="I177" s="46"/>
      <c r="J177" s="47"/>
      <c r="K177" s="48"/>
      <c r="L177" s="49"/>
      <c r="M177" s="49"/>
      <c r="N177" s="50"/>
      <c r="O177" s="43"/>
      <c r="P177" s="43"/>
      <c r="Q177" s="44"/>
      <c r="R177" s="35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43"/>
      <c r="B178" s="40"/>
      <c r="C178" s="44"/>
      <c r="D178" s="45"/>
      <c r="E178" s="44"/>
      <c r="F178" s="43"/>
      <c r="G178" s="43"/>
      <c r="H178" s="43"/>
      <c r="I178" s="46"/>
      <c r="J178" s="47"/>
      <c r="K178" s="48"/>
      <c r="L178" s="49"/>
      <c r="M178" s="49"/>
      <c r="N178" s="50"/>
      <c r="O178" s="43"/>
      <c r="P178" s="43"/>
      <c r="Q178" s="44"/>
      <c r="R178" s="35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43"/>
      <c r="B179" s="40"/>
      <c r="C179" s="44"/>
      <c r="D179" s="45"/>
      <c r="E179" s="44"/>
      <c r="F179" s="43"/>
      <c r="G179" s="43"/>
      <c r="H179" s="43"/>
      <c r="I179" s="46"/>
      <c r="J179" s="47"/>
      <c r="K179" s="48"/>
      <c r="L179" s="49"/>
      <c r="M179" s="49"/>
      <c r="N179" s="50"/>
      <c r="O179" s="43"/>
      <c r="P179" s="43"/>
      <c r="Q179" s="44"/>
      <c r="R179" s="35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43"/>
      <c r="B180" s="40"/>
      <c r="C180" s="44"/>
      <c r="D180" s="45"/>
      <c r="E180" s="44"/>
      <c r="F180" s="43"/>
      <c r="G180" s="43"/>
      <c r="H180" s="43"/>
      <c r="I180" s="46"/>
      <c r="J180" s="47"/>
      <c r="K180" s="48"/>
      <c r="L180" s="49"/>
      <c r="M180" s="49"/>
      <c r="N180" s="50"/>
      <c r="O180" s="43"/>
      <c r="P180" s="43"/>
      <c r="Q180" s="44"/>
      <c r="R180" s="35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43"/>
      <c r="B181" s="40"/>
      <c r="C181" s="44"/>
      <c r="D181" s="45"/>
      <c r="E181" s="44"/>
      <c r="F181" s="43"/>
      <c r="G181" s="43"/>
      <c r="H181" s="43"/>
      <c r="I181" s="46"/>
      <c r="J181" s="47"/>
      <c r="K181" s="48"/>
      <c r="L181" s="49"/>
      <c r="M181" s="49"/>
      <c r="N181" s="50"/>
      <c r="O181" s="43"/>
      <c r="P181" s="43"/>
      <c r="Q181" s="44"/>
      <c r="R181" s="35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43"/>
      <c r="B182" s="40"/>
      <c r="C182" s="44"/>
      <c r="D182" s="45"/>
      <c r="E182" s="44"/>
      <c r="F182" s="43"/>
      <c r="G182" s="43"/>
      <c r="H182" s="43"/>
      <c r="I182" s="46"/>
      <c r="J182" s="47"/>
      <c r="K182" s="48"/>
      <c r="L182" s="49"/>
      <c r="M182" s="49"/>
      <c r="N182" s="50"/>
      <c r="O182" s="43"/>
      <c r="P182" s="43"/>
      <c r="Q182" s="44"/>
      <c r="R182" s="35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43"/>
      <c r="B183" s="40"/>
      <c r="C183" s="44"/>
      <c r="D183" s="45"/>
      <c r="E183" s="44"/>
      <c r="F183" s="43"/>
      <c r="G183" s="43"/>
      <c r="H183" s="43"/>
      <c r="I183" s="46"/>
      <c r="J183" s="47"/>
      <c r="K183" s="48"/>
      <c r="L183" s="49"/>
      <c r="M183" s="49"/>
      <c r="N183" s="50"/>
      <c r="O183" s="43"/>
      <c r="P183" s="43"/>
      <c r="Q183" s="44"/>
      <c r="R183" s="35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43"/>
      <c r="B184" s="40"/>
      <c r="C184" s="44"/>
      <c r="D184" s="45"/>
      <c r="E184" s="44"/>
      <c r="F184" s="43"/>
      <c r="G184" s="43"/>
      <c r="H184" s="43"/>
      <c r="I184" s="46"/>
      <c r="J184" s="47"/>
      <c r="K184" s="48"/>
      <c r="L184" s="49"/>
      <c r="M184" s="49"/>
      <c r="N184" s="50"/>
      <c r="O184" s="43"/>
      <c r="P184" s="43"/>
      <c r="Q184" s="44"/>
      <c r="R184" s="35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43"/>
      <c r="B185" s="40"/>
      <c r="C185" s="44"/>
      <c r="D185" s="45"/>
      <c r="E185" s="44"/>
      <c r="F185" s="43"/>
      <c r="G185" s="43"/>
      <c r="H185" s="43"/>
      <c r="I185" s="46"/>
      <c r="J185" s="47"/>
      <c r="K185" s="48"/>
      <c r="L185" s="49"/>
      <c r="M185" s="49"/>
      <c r="N185" s="50"/>
      <c r="O185" s="43"/>
      <c r="P185" s="43"/>
      <c r="Q185" s="44"/>
      <c r="R185" s="35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43"/>
      <c r="B186" s="40"/>
      <c r="C186" s="44"/>
      <c r="D186" s="45"/>
      <c r="E186" s="44"/>
      <c r="F186" s="43"/>
      <c r="G186" s="43"/>
      <c r="H186" s="43"/>
      <c r="I186" s="46"/>
      <c r="J186" s="47"/>
      <c r="K186" s="48"/>
      <c r="L186" s="49"/>
      <c r="M186" s="49"/>
      <c r="N186" s="50"/>
      <c r="O186" s="43"/>
      <c r="P186" s="43"/>
      <c r="Q186" s="44"/>
      <c r="R186" s="35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43"/>
      <c r="B187" s="40"/>
      <c r="C187" s="44"/>
      <c r="D187" s="45"/>
      <c r="E187" s="44"/>
      <c r="F187" s="43"/>
      <c r="G187" s="43"/>
      <c r="H187" s="43"/>
      <c r="I187" s="46"/>
      <c r="J187" s="47"/>
      <c r="K187" s="48"/>
      <c r="L187" s="49"/>
      <c r="M187" s="49"/>
      <c r="N187" s="50"/>
      <c r="O187" s="43"/>
      <c r="P187" s="43"/>
      <c r="Q187" s="44"/>
      <c r="R187" s="35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43"/>
      <c r="B188" s="40"/>
      <c r="C188" s="44"/>
      <c r="D188" s="45"/>
      <c r="E188" s="44"/>
      <c r="F188" s="43"/>
      <c r="G188" s="43"/>
      <c r="H188" s="43"/>
      <c r="I188" s="46"/>
      <c r="J188" s="47"/>
      <c r="K188" s="48"/>
      <c r="L188" s="49"/>
      <c r="M188" s="49"/>
      <c r="N188" s="50"/>
      <c r="O188" s="43"/>
      <c r="P188" s="43"/>
      <c r="Q188" s="44"/>
      <c r="R188" s="35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43"/>
      <c r="B189" s="40"/>
      <c r="C189" s="44"/>
      <c r="D189" s="45"/>
      <c r="E189" s="44"/>
      <c r="F189" s="43"/>
      <c r="G189" s="43"/>
      <c r="H189" s="43"/>
      <c r="I189" s="46"/>
      <c r="J189" s="47"/>
      <c r="K189" s="48"/>
      <c r="L189" s="49"/>
      <c r="M189" s="49"/>
      <c r="N189" s="50"/>
      <c r="O189" s="43"/>
      <c r="P189" s="43"/>
      <c r="Q189" s="44"/>
      <c r="R189" s="35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43"/>
      <c r="B190" s="40"/>
      <c r="C190" s="44"/>
      <c r="D190" s="45"/>
      <c r="E190" s="44"/>
      <c r="F190" s="43"/>
      <c r="G190" s="43"/>
      <c r="H190" s="43"/>
      <c r="I190" s="46"/>
      <c r="J190" s="47"/>
      <c r="K190" s="48"/>
      <c r="L190" s="49"/>
      <c r="M190" s="49"/>
      <c r="N190" s="50"/>
      <c r="O190" s="43"/>
      <c r="P190" s="43"/>
      <c r="Q190" s="44"/>
      <c r="R190" s="35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43"/>
      <c r="B191" s="40"/>
      <c r="C191" s="44"/>
      <c r="D191" s="45"/>
      <c r="E191" s="44"/>
      <c r="F191" s="43"/>
      <c r="G191" s="43"/>
      <c r="H191" s="43"/>
      <c r="I191" s="46"/>
      <c r="J191" s="47"/>
      <c r="K191" s="48"/>
      <c r="L191" s="49"/>
      <c r="M191" s="49"/>
      <c r="N191" s="50"/>
      <c r="O191" s="43"/>
      <c r="P191" s="43"/>
      <c r="Q191" s="44"/>
      <c r="R191" s="35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43"/>
      <c r="B192" s="40"/>
      <c r="C192" s="44"/>
      <c r="D192" s="45"/>
      <c r="E192" s="44"/>
      <c r="F192" s="43"/>
      <c r="G192" s="43"/>
      <c r="H192" s="43"/>
      <c r="I192" s="46"/>
      <c r="J192" s="47"/>
      <c r="K192" s="48"/>
      <c r="L192" s="49"/>
      <c r="M192" s="49"/>
      <c r="N192" s="50"/>
      <c r="O192" s="43"/>
      <c r="P192" s="43"/>
      <c r="Q192" s="44"/>
      <c r="R192" s="35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43"/>
      <c r="B193" s="40"/>
      <c r="C193" s="44"/>
      <c r="D193" s="45"/>
      <c r="E193" s="44"/>
      <c r="F193" s="43"/>
      <c r="G193" s="43"/>
      <c r="H193" s="43"/>
      <c r="I193" s="46"/>
      <c r="J193" s="47"/>
      <c r="K193" s="48"/>
      <c r="L193" s="49"/>
      <c r="M193" s="49"/>
      <c r="N193" s="50"/>
      <c r="O193" s="43"/>
      <c r="P193" s="43"/>
      <c r="Q193" s="44"/>
      <c r="R193" s="35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43"/>
      <c r="B194" s="40"/>
      <c r="C194" s="44"/>
      <c r="D194" s="45"/>
      <c r="E194" s="44"/>
      <c r="F194" s="43"/>
      <c r="G194" s="43"/>
      <c r="H194" s="43"/>
      <c r="I194" s="46"/>
      <c r="J194" s="47"/>
      <c r="K194" s="48"/>
      <c r="L194" s="49"/>
      <c r="M194" s="49"/>
      <c r="N194" s="50"/>
      <c r="O194" s="43"/>
      <c r="P194" s="43"/>
      <c r="Q194" s="44"/>
      <c r="R194" s="35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43"/>
      <c r="B195" s="40"/>
      <c r="C195" s="44"/>
      <c r="D195" s="45"/>
      <c r="E195" s="44"/>
      <c r="F195" s="43"/>
      <c r="G195" s="43"/>
      <c r="H195" s="43"/>
      <c r="I195" s="46"/>
      <c r="J195" s="47"/>
      <c r="K195" s="48"/>
      <c r="L195" s="49"/>
      <c r="M195" s="49"/>
      <c r="N195" s="50"/>
      <c r="O195" s="43"/>
      <c r="P195" s="43"/>
      <c r="Q195" s="44"/>
      <c r="R195" s="35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43"/>
      <c r="B196" s="40"/>
      <c r="C196" s="44"/>
      <c r="D196" s="45"/>
      <c r="E196" s="44"/>
      <c r="F196" s="43"/>
      <c r="G196" s="43"/>
      <c r="H196" s="43"/>
      <c r="I196" s="46"/>
      <c r="J196" s="47"/>
      <c r="K196" s="48"/>
      <c r="L196" s="49"/>
      <c r="M196" s="49"/>
      <c r="N196" s="50"/>
      <c r="O196" s="43"/>
      <c r="P196" s="43"/>
      <c r="Q196" s="44"/>
      <c r="R196" s="35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43"/>
      <c r="B197" s="40"/>
      <c r="C197" s="44"/>
      <c r="D197" s="45"/>
      <c r="E197" s="44"/>
      <c r="F197" s="43"/>
      <c r="G197" s="43"/>
      <c r="H197" s="43"/>
      <c r="I197" s="46"/>
      <c r="J197" s="47"/>
      <c r="K197" s="48"/>
      <c r="L197" s="49"/>
      <c r="M197" s="49"/>
      <c r="N197" s="50"/>
      <c r="O197" s="43"/>
      <c r="P197" s="43"/>
      <c r="Q197" s="44"/>
      <c r="R197" s="35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43"/>
      <c r="B198" s="40"/>
      <c r="C198" s="44"/>
      <c r="D198" s="45"/>
      <c r="E198" s="44"/>
      <c r="F198" s="43"/>
      <c r="G198" s="43"/>
      <c r="H198" s="43"/>
      <c r="I198" s="46"/>
      <c r="J198" s="47"/>
      <c r="K198" s="48"/>
      <c r="L198" s="49"/>
      <c r="M198" s="49"/>
      <c r="N198" s="50"/>
      <c r="O198" s="43"/>
      <c r="P198" s="43"/>
      <c r="Q198" s="44"/>
      <c r="R198" s="35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43"/>
      <c r="B199" s="40"/>
      <c r="C199" s="44"/>
      <c r="D199" s="45"/>
      <c r="E199" s="44"/>
      <c r="F199" s="43"/>
      <c r="G199" s="43"/>
      <c r="H199" s="43"/>
      <c r="I199" s="46"/>
      <c r="J199" s="47"/>
      <c r="K199" s="48"/>
      <c r="L199" s="49"/>
      <c r="M199" s="49"/>
      <c r="N199" s="50"/>
      <c r="O199" s="43"/>
      <c r="P199" s="43"/>
      <c r="Q199" s="44"/>
      <c r="R199" s="35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43"/>
      <c r="B200" s="40"/>
      <c r="C200" s="44"/>
      <c r="D200" s="45"/>
      <c r="E200" s="44"/>
      <c r="F200" s="43"/>
      <c r="G200" s="43"/>
      <c r="H200" s="43"/>
      <c r="I200" s="46"/>
      <c r="J200" s="47"/>
      <c r="K200" s="48"/>
      <c r="L200" s="49"/>
      <c r="M200" s="49"/>
      <c r="N200" s="50"/>
      <c r="O200" s="43"/>
      <c r="P200" s="43"/>
      <c r="Q200" s="44"/>
      <c r="R200" s="35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43"/>
      <c r="B201" s="40"/>
      <c r="C201" s="44"/>
      <c r="D201" s="45"/>
      <c r="E201" s="44"/>
      <c r="F201" s="43"/>
      <c r="G201" s="43"/>
      <c r="H201" s="43"/>
      <c r="I201" s="46"/>
      <c r="J201" s="47"/>
      <c r="K201" s="48"/>
      <c r="L201" s="49"/>
      <c r="M201" s="49"/>
      <c r="N201" s="50"/>
      <c r="O201" s="43"/>
      <c r="P201" s="43"/>
      <c r="Q201" s="44"/>
      <c r="R201" s="35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43"/>
      <c r="B202" s="40"/>
      <c r="C202" s="44"/>
      <c r="D202" s="45"/>
      <c r="E202" s="44"/>
      <c r="F202" s="43"/>
      <c r="G202" s="43"/>
      <c r="H202" s="43"/>
      <c r="I202" s="46"/>
      <c r="J202" s="47"/>
      <c r="K202" s="48"/>
      <c r="L202" s="49"/>
      <c r="M202" s="49"/>
      <c r="N202" s="50"/>
      <c r="O202" s="43"/>
      <c r="P202" s="43"/>
      <c r="Q202" s="44"/>
      <c r="R202" s="35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43"/>
      <c r="B203" s="40"/>
      <c r="C203" s="44"/>
      <c r="D203" s="45"/>
      <c r="E203" s="44"/>
      <c r="F203" s="43"/>
      <c r="G203" s="43"/>
      <c r="H203" s="43"/>
      <c r="I203" s="46"/>
      <c r="J203" s="47"/>
      <c r="K203" s="48"/>
      <c r="L203" s="49"/>
      <c r="M203" s="49"/>
      <c r="N203" s="50"/>
      <c r="O203" s="43"/>
      <c r="P203" s="43"/>
      <c r="Q203" s="44"/>
      <c r="R203" s="35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43"/>
      <c r="B204" s="40"/>
      <c r="C204" s="44"/>
      <c r="D204" s="45"/>
      <c r="E204" s="44"/>
      <c r="F204" s="43"/>
      <c r="G204" s="43"/>
      <c r="H204" s="43"/>
      <c r="I204" s="46"/>
      <c r="J204" s="47"/>
      <c r="K204" s="48"/>
      <c r="L204" s="49"/>
      <c r="M204" s="49"/>
      <c r="N204" s="50"/>
      <c r="O204" s="43"/>
      <c r="P204" s="43"/>
      <c r="Q204" s="44"/>
      <c r="R204" s="35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43"/>
      <c r="B205" s="40"/>
      <c r="C205" s="44"/>
      <c r="D205" s="45"/>
      <c r="E205" s="44"/>
      <c r="F205" s="43"/>
      <c r="G205" s="43"/>
      <c r="H205" s="43"/>
      <c r="I205" s="46"/>
      <c r="J205" s="47"/>
      <c r="K205" s="48"/>
      <c r="L205" s="49"/>
      <c r="M205" s="49"/>
      <c r="N205" s="50"/>
      <c r="O205" s="43"/>
      <c r="P205" s="43"/>
      <c r="Q205" s="44"/>
      <c r="R205" s="35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43"/>
      <c r="B206" s="40"/>
      <c r="C206" s="44"/>
      <c r="D206" s="45"/>
      <c r="E206" s="44"/>
      <c r="F206" s="43"/>
      <c r="G206" s="43"/>
      <c r="H206" s="43"/>
      <c r="I206" s="46"/>
      <c r="J206" s="47"/>
      <c r="K206" s="48"/>
      <c r="L206" s="49"/>
      <c r="M206" s="49"/>
      <c r="N206" s="50"/>
      <c r="O206" s="43"/>
      <c r="P206" s="43"/>
      <c r="Q206" s="44"/>
      <c r="R206" s="35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43"/>
      <c r="B207" s="40"/>
      <c r="C207" s="44"/>
      <c r="D207" s="45"/>
      <c r="E207" s="44"/>
      <c r="F207" s="43"/>
      <c r="G207" s="43"/>
      <c r="H207" s="43"/>
      <c r="I207" s="46"/>
      <c r="J207" s="47"/>
      <c r="K207" s="48"/>
      <c r="L207" s="49"/>
      <c r="M207" s="49"/>
      <c r="N207" s="50"/>
      <c r="O207" s="43"/>
      <c r="P207" s="43"/>
      <c r="Q207" s="44"/>
      <c r="R207" s="35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43"/>
      <c r="B208" s="40"/>
      <c r="C208" s="44"/>
      <c r="D208" s="45"/>
      <c r="E208" s="44"/>
      <c r="F208" s="43"/>
      <c r="G208" s="43"/>
      <c r="H208" s="43"/>
      <c r="I208" s="46"/>
      <c r="J208" s="47"/>
      <c r="K208" s="48"/>
      <c r="L208" s="49"/>
      <c r="M208" s="49"/>
      <c r="N208" s="50"/>
      <c r="O208" s="43"/>
      <c r="P208" s="43"/>
      <c r="Q208" s="44"/>
      <c r="R208" s="35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43"/>
      <c r="B209" s="40"/>
      <c r="C209" s="44"/>
      <c r="D209" s="45"/>
      <c r="E209" s="44"/>
      <c r="F209" s="43"/>
      <c r="G209" s="43"/>
      <c r="H209" s="43"/>
      <c r="I209" s="46"/>
      <c r="J209" s="47"/>
      <c r="K209" s="48"/>
      <c r="L209" s="49"/>
      <c r="M209" s="49"/>
      <c r="N209" s="50"/>
      <c r="O209" s="43"/>
      <c r="P209" s="43"/>
      <c r="Q209" s="44"/>
      <c r="R209" s="35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43"/>
      <c r="B210" s="40"/>
      <c r="C210" s="44"/>
      <c r="D210" s="45"/>
      <c r="E210" s="44"/>
      <c r="F210" s="43"/>
      <c r="G210" s="43"/>
      <c r="H210" s="43"/>
      <c r="I210" s="46"/>
      <c r="J210" s="47"/>
      <c r="K210" s="48"/>
      <c r="L210" s="49"/>
      <c r="M210" s="49"/>
      <c r="N210" s="50"/>
      <c r="O210" s="43"/>
      <c r="P210" s="43"/>
      <c r="Q210" s="44"/>
      <c r="R210" s="35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43"/>
      <c r="B211" s="40"/>
      <c r="C211" s="44"/>
      <c r="D211" s="45"/>
      <c r="E211" s="44"/>
      <c r="F211" s="43"/>
      <c r="G211" s="43"/>
      <c r="H211" s="43"/>
      <c r="I211" s="46"/>
      <c r="J211" s="47"/>
      <c r="K211" s="48"/>
      <c r="L211" s="49"/>
      <c r="M211" s="49"/>
      <c r="N211" s="50"/>
      <c r="O211" s="43"/>
      <c r="P211" s="43"/>
      <c r="Q211" s="44"/>
      <c r="R211" s="35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43"/>
      <c r="B212" s="40"/>
      <c r="C212" s="44"/>
      <c r="D212" s="45"/>
      <c r="E212" s="44"/>
      <c r="F212" s="43"/>
      <c r="G212" s="43"/>
      <c r="H212" s="43"/>
      <c r="I212" s="46"/>
      <c r="J212" s="47"/>
      <c r="K212" s="48"/>
      <c r="L212" s="49"/>
      <c r="M212" s="49"/>
      <c r="N212" s="50"/>
      <c r="O212" s="43"/>
      <c r="P212" s="43"/>
      <c r="Q212" s="44"/>
      <c r="R212" s="35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43"/>
      <c r="B213" s="40"/>
      <c r="C213" s="44"/>
      <c r="D213" s="45"/>
      <c r="E213" s="44"/>
      <c r="F213" s="43"/>
      <c r="G213" s="43"/>
      <c r="H213" s="43"/>
      <c r="I213" s="46"/>
      <c r="J213" s="47"/>
      <c r="K213" s="48"/>
      <c r="L213" s="49"/>
      <c r="M213" s="49"/>
      <c r="N213" s="50"/>
      <c r="O213" s="43"/>
      <c r="P213" s="43"/>
      <c r="Q213" s="44"/>
      <c r="R213" s="35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43"/>
      <c r="B214" s="40"/>
      <c r="C214" s="44"/>
      <c r="D214" s="45"/>
      <c r="E214" s="44"/>
      <c r="F214" s="43"/>
      <c r="G214" s="43"/>
      <c r="H214" s="43"/>
      <c r="I214" s="46"/>
      <c r="J214" s="47"/>
      <c r="K214" s="48"/>
      <c r="L214" s="49"/>
      <c r="M214" s="49"/>
      <c r="N214" s="50"/>
      <c r="O214" s="43"/>
      <c r="P214" s="43"/>
      <c r="Q214" s="44"/>
      <c r="R214" s="35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43"/>
      <c r="B215" s="40"/>
      <c r="C215" s="44"/>
      <c r="D215" s="45"/>
      <c r="E215" s="44"/>
      <c r="F215" s="43"/>
      <c r="G215" s="43"/>
      <c r="H215" s="43"/>
      <c r="I215" s="46"/>
      <c r="J215" s="47"/>
      <c r="K215" s="48"/>
      <c r="L215" s="49"/>
      <c r="M215" s="49"/>
      <c r="N215" s="50"/>
      <c r="O215" s="43"/>
      <c r="P215" s="43"/>
      <c r="Q215" s="44"/>
      <c r="R215" s="35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43"/>
      <c r="B216" s="40"/>
      <c r="C216" s="44"/>
      <c r="D216" s="45"/>
      <c r="E216" s="44"/>
      <c r="F216" s="43"/>
      <c r="G216" s="43"/>
      <c r="H216" s="43"/>
      <c r="I216" s="46"/>
      <c r="J216" s="47"/>
      <c r="K216" s="48"/>
      <c r="L216" s="49"/>
      <c r="M216" s="49"/>
      <c r="N216" s="50"/>
      <c r="O216" s="43"/>
      <c r="P216" s="43"/>
      <c r="Q216" s="44"/>
      <c r="R216" s="35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43"/>
      <c r="B217" s="40"/>
      <c r="C217" s="44"/>
      <c r="D217" s="45"/>
      <c r="E217" s="44"/>
      <c r="F217" s="43"/>
      <c r="G217" s="43"/>
      <c r="H217" s="43"/>
      <c r="I217" s="46"/>
      <c r="J217" s="47"/>
      <c r="K217" s="48"/>
      <c r="L217" s="49"/>
      <c r="M217" s="49"/>
      <c r="N217" s="50"/>
      <c r="O217" s="43"/>
      <c r="P217" s="43"/>
      <c r="Q217" s="44"/>
      <c r="R217" s="35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43"/>
      <c r="B218" s="40"/>
      <c r="C218" s="44"/>
      <c r="D218" s="45"/>
      <c r="E218" s="44"/>
      <c r="F218" s="43"/>
      <c r="G218" s="43"/>
      <c r="H218" s="43"/>
      <c r="I218" s="46"/>
      <c r="J218" s="47"/>
      <c r="K218" s="48"/>
      <c r="L218" s="49"/>
      <c r="M218" s="49"/>
      <c r="N218" s="50"/>
      <c r="O218" s="43"/>
      <c r="P218" s="43"/>
      <c r="Q218" s="44"/>
      <c r="R218" s="35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43"/>
      <c r="B219" s="40"/>
      <c r="C219" s="44"/>
      <c r="D219" s="45"/>
      <c r="E219" s="44"/>
      <c r="F219" s="43"/>
      <c r="G219" s="43"/>
      <c r="H219" s="43"/>
      <c r="I219" s="46"/>
      <c r="J219" s="47"/>
      <c r="K219" s="48"/>
      <c r="L219" s="49"/>
      <c r="M219" s="49"/>
      <c r="N219" s="50"/>
      <c r="O219" s="43"/>
      <c r="P219" s="43"/>
      <c r="Q219" s="44"/>
      <c r="R219" s="35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43"/>
      <c r="B220" s="40"/>
      <c r="C220" s="44"/>
      <c r="D220" s="45"/>
      <c r="E220" s="44"/>
      <c r="F220" s="43"/>
      <c r="G220" s="43"/>
      <c r="H220" s="43"/>
      <c r="I220" s="46"/>
      <c r="J220" s="47"/>
      <c r="K220" s="48"/>
      <c r="L220" s="49"/>
      <c r="M220" s="49"/>
      <c r="N220" s="50"/>
      <c r="O220" s="43"/>
      <c r="P220" s="43"/>
      <c r="Q220" s="44"/>
      <c r="R220" s="35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43"/>
      <c r="B221" s="40"/>
      <c r="C221" s="44"/>
      <c r="D221" s="45"/>
      <c r="E221" s="44"/>
      <c r="F221" s="43"/>
      <c r="G221" s="43"/>
      <c r="H221" s="43"/>
      <c r="I221" s="46"/>
      <c r="J221" s="47"/>
      <c r="K221" s="48"/>
      <c r="L221" s="49"/>
      <c r="M221" s="49"/>
      <c r="N221" s="50"/>
      <c r="O221" s="43"/>
      <c r="P221" s="43"/>
      <c r="Q221" s="44"/>
      <c r="R221" s="35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43"/>
      <c r="B222" s="40"/>
      <c r="C222" s="44"/>
      <c r="D222" s="45"/>
      <c r="E222" s="44"/>
      <c r="F222" s="43"/>
      <c r="G222" s="43"/>
      <c r="H222" s="43"/>
      <c r="I222" s="46"/>
      <c r="J222" s="47"/>
      <c r="K222" s="48"/>
      <c r="L222" s="49"/>
      <c r="M222" s="49"/>
      <c r="N222" s="50"/>
      <c r="O222" s="43"/>
      <c r="P222" s="43"/>
      <c r="Q222" s="44"/>
      <c r="R222" s="35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43"/>
      <c r="B223" s="40"/>
      <c r="C223" s="44"/>
      <c r="D223" s="45"/>
      <c r="E223" s="44"/>
      <c r="F223" s="43"/>
      <c r="G223" s="43"/>
      <c r="H223" s="43"/>
      <c r="I223" s="46"/>
      <c r="J223" s="47"/>
      <c r="K223" s="48"/>
      <c r="L223" s="49"/>
      <c r="M223" s="49"/>
      <c r="N223" s="50"/>
      <c r="O223" s="43"/>
      <c r="P223" s="43"/>
      <c r="Q223" s="44"/>
      <c r="R223" s="35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43"/>
      <c r="B224" s="40"/>
      <c r="C224" s="44"/>
      <c r="D224" s="45"/>
      <c r="E224" s="44"/>
      <c r="F224" s="43"/>
      <c r="G224" s="43"/>
      <c r="H224" s="43"/>
      <c r="I224" s="46"/>
      <c r="J224" s="47"/>
      <c r="K224" s="48"/>
      <c r="L224" s="49"/>
      <c r="M224" s="49"/>
      <c r="N224" s="50"/>
      <c r="O224" s="43"/>
      <c r="P224" s="43"/>
      <c r="Q224" s="44"/>
      <c r="R224" s="35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43"/>
      <c r="B225" s="40"/>
      <c r="C225" s="44"/>
      <c r="D225" s="45"/>
      <c r="E225" s="44"/>
      <c r="F225" s="43"/>
      <c r="G225" s="43"/>
      <c r="H225" s="43"/>
      <c r="I225" s="46"/>
      <c r="J225" s="47"/>
      <c r="K225" s="48"/>
      <c r="L225" s="49"/>
      <c r="M225" s="49"/>
      <c r="N225" s="50"/>
      <c r="O225" s="43"/>
      <c r="P225" s="43"/>
      <c r="Q225" s="44"/>
      <c r="R225" s="35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43"/>
      <c r="B226" s="40"/>
      <c r="C226" s="44"/>
      <c r="D226" s="45"/>
      <c r="E226" s="44"/>
      <c r="F226" s="43"/>
      <c r="G226" s="43"/>
      <c r="H226" s="43"/>
      <c r="I226" s="46"/>
      <c r="J226" s="47"/>
      <c r="K226" s="48"/>
      <c r="L226" s="49"/>
      <c r="M226" s="49"/>
      <c r="N226" s="50"/>
      <c r="O226" s="43"/>
      <c r="P226" s="43"/>
      <c r="Q226" s="44"/>
      <c r="R226" s="35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43"/>
      <c r="B227" s="40"/>
      <c r="C227" s="44"/>
      <c r="D227" s="45"/>
      <c r="E227" s="44"/>
      <c r="F227" s="43"/>
      <c r="G227" s="43"/>
      <c r="H227" s="43"/>
      <c r="I227" s="46"/>
      <c r="J227" s="47"/>
      <c r="K227" s="48"/>
      <c r="L227" s="49"/>
      <c r="M227" s="49"/>
      <c r="N227" s="50"/>
      <c r="O227" s="43"/>
      <c r="P227" s="43"/>
      <c r="Q227" s="44"/>
      <c r="R227" s="35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43"/>
      <c r="B228" s="40"/>
      <c r="C228" s="44"/>
      <c r="D228" s="45"/>
      <c r="E228" s="44"/>
      <c r="F228" s="43"/>
      <c r="G228" s="43"/>
      <c r="H228" s="43"/>
      <c r="I228" s="46"/>
      <c r="J228" s="47"/>
      <c r="K228" s="48"/>
      <c r="L228" s="49"/>
      <c r="M228" s="49"/>
      <c r="N228" s="50"/>
      <c r="O228" s="43"/>
      <c r="P228" s="43"/>
      <c r="Q228" s="44"/>
      <c r="R228" s="35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43"/>
      <c r="B229" s="40"/>
      <c r="C229" s="44"/>
      <c r="D229" s="45"/>
      <c r="E229" s="44"/>
      <c r="F229" s="43"/>
      <c r="G229" s="43"/>
      <c r="H229" s="43"/>
      <c r="I229" s="46"/>
      <c r="J229" s="47"/>
      <c r="K229" s="48"/>
      <c r="L229" s="49"/>
      <c r="M229" s="49"/>
      <c r="N229" s="50"/>
      <c r="O229" s="43"/>
      <c r="P229" s="43"/>
      <c r="Q229" s="44"/>
      <c r="R229" s="35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43"/>
      <c r="B230" s="40"/>
      <c r="C230" s="44"/>
      <c r="D230" s="45"/>
      <c r="E230" s="44"/>
      <c r="F230" s="43"/>
      <c r="G230" s="43"/>
      <c r="H230" s="43"/>
      <c r="I230" s="46"/>
      <c r="J230" s="47"/>
      <c r="K230" s="48"/>
      <c r="L230" s="49"/>
      <c r="M230" s="49"/>
      <c r="N230" s="50"/>
      <c r="O230" s="43"/>
      <c r="P230" s="43"/>
      <c r="Q230" s="44"/>
      <c r="R230" s="35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43"/>
      <c r="B231" s="40"/>
      <c r="C231" s="44"/>
      <c r="D231" s="45"/>
      <c r="E231" s="44"/>
      <c r="F231" s="43"/>
      <c r="G231" s="43"/>
      <c r="H231" s="43"/>
      <c r="I231" s="46"/>
      <c r="J231" s="47"/>
      <c r="K231" s="48"/>
      <c r="L231" s="49"/>
      <c r="M231" s="49"/>
      <c r="N231" s="50"/>
      <c r="O231" s="43"/>
      <c r="P231" s="43"/>
      <c r="Q231" s="44"/>
      <c r="R231" s="35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43"/>
      <c r="B232" s="40"/>
      <c r="C232" s="44"/>
      <c r="D232" s="45"/>
      <c r="E232" s="44"/>
      <c r="F232" s="43"/>
      <c r="G232" s="43"/>
      <c r="H232" s="43"/>
      <c r="I232" s="46"/>
      <c r="J232" s="47"/>
      <c r="K232" s="48"/>
      <c r="L232" s="49"/>
      <c r="M232" s="49"/>
      <c r="N232" s="50"/>
      <c r="O232" s="43"/>
      <c r="P232" s="43"/>
      <c r="Q232" s="44"/>
      <c r="R232" s="35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43"/>
      <c r="B233" s="40"/>
      <c r="C233" s="44"/>
      <c r="D233" s="45"/>
      <c r="E233" s="44"/>
      <c r="F233" s="43"/>
      <c r="G233" s="43"/>
      <c r="H233" s="43"/>
      <c r="I233" s="46"/>
      <c r="J233" s="47"/>
      <c r="K233" s="48"/>
      <c r="L233" s="49"/>
      <c r="M233" s="49"/>
      <c r="N233" s="50"/>
      <c r="O233" s="43"/>
      <c r="P233" s="43"/>
      <c r="Q233" s="44"/>
      <c r="R233" s="35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43"/>
      <c r="B234" s="40"/>
      <c r="C234" s="44"/>
      <c r="D234" s="45"/>
      <c r="E234" s="44"/>
      <c r="F234" s="43"/>
      <c r="G234" s="43"/>
      <c r="H234" s="43"/>
      <c r="I234" s="46"/>
      <c r="J234" s="47"/>
      <c r="K234" s="48"/>
      <c r="L234" s="49"/>
      <c r="M234" s="49"/>
      <c r="N234" s="50"/>
      <c r="O234" s="43"/>
      <c r="P234" s="43"/>
      <c r="Q234" s="44"/>
      <c r="R234" s="35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43"/>
      <c r="B235" s="40"/>
      <c r="C235" s="44"/>
      <c r="D235" s="45"/>
      <c r="E235" s="44"/>
      <c r="F235" s="43"/>
      <c r="G235" s="43"/>
      <c r="H235" s="43"/>
      <c r="I235" s="46"/>
      <c r="J235" s="47"/>
      <c r="K235" s="48"/>
      <c r="L235" s="49"/>
      <c r="M235" s="49"/>
      <c r="N235" s="50"/>
      <c r="O235" s="43"/>
      <c r="P235" s="43"/>
      <c r="Q235" s="44"/>
      <c r="R235" s="35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43"/>
      <c r="B236" s="40"/>
      <c r="C236" s="44"/>
      <c r="D236" s="45"/>
      <c r="E236" s="44"/>
      <c r="F236" s="43"/>
      <c r="G236" s="43"/>
      <c r="H236" s="43"/>
      <c r="I236" s="46"/>
      <c r="J236" s="47"/>
      <c r="K236" s="48"/>
      <c r="L236" s="49"/>
      <c r="M236" s="49"/>
      <c r="N236" s="50"/>
      <c r="O236" s="43"/>
      <c r="P236" s="43"/>
      <c r="Q236" s="44"/>
      <c r="R236" s="35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43"/>
      <c r="B237" s="40"/>
      <c r="C237" s="44"/>
      <c r="D237" s="45"/>
      <c r="E237" s="44"/>
      <c r="F237" s="43"/>
      <c r="G237" s="43"/>
      <c r="H237" s="43"/>
      <c r="I237" s="46"/>
      <c r="J237" s="47"/>
      <c r="K237" s="48"/>
      <c r="L237" s="49"/>
      <c r="M237" s="49"/>
      <c r="N237" s="50"/>
      <c r="O237" s="43"/>
      <c r="P237" s="43"/>
      <c r="Q237" s="44"/>
      <c r="R237" s="35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43"/>
      <c r="B238" s="40"/>
      <c r="C238" s="44"/>
      <c r="D238" s="45"/>
      <c r="E238" s="44"/>
      <c r="F238" s="43"/>
      <c r="G238" s="43"/>
      <c r="H238" s="43"/>
      <c r="I238" s="46"/>
      <c r="J238" s="47"/>
      <c r="K238" s="48"/>
      <c r="L238" s="49"/>
      <c r="M238" s="49"/>
      <c r="N238" s="50"/>
      <c r="O238" s="43"/>
      <c r="P238" s="43"/>
      <c r="Q238" s="44"/>
      <c r="R238" s="35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43"/>
      <c r="B239" s="40"/>
      <c r="C239" s="44"/>
      <c r="D239" s="45"/>
      <c r="E239" s="44"/>
      <c r="F239" s="43"/>
      <c r="G239" s="43"/>
      <c r="H239" s="43"/>
      <c r="I239" s="46"/>
      <c r="J239" s="47"/>
      <c r="K239" s="48"/>
      <c r="L239" s="49"/>
      <c r="M239" s="49"/>
      <c r="N239" s="50"/>
      <c r="O239" s="43"/>
      <c r="P239" s="43"/>
      <c r="Q239" s="44"/>
      <c r="R239" s="35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43"/>
      <c r="B240" s="40"/>
      <c r="C240" s="44"/>
      <c r="D240" s="45"/>
      <c r="E240" s="44"/>
      <c r="F240" s="43"/>
      <c r="G240" s="43"/>
      <c r="H240" s="43"/>
      <c r="I240" s="46"/>
      <c r="J240" s="47"/>
      <c r="K240" s="48"/>
      <c r="L240" s="49"/>
      <c r="M240" s="49"/>
      <c r="N240" s="50"/>
      <c r="O240" s="43"/>
      <c r="P240" s="43"/>
      <c r="Q240" s="44"/>
      <c r="R240" s="35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43"/>
      <c r="B241" s="40"/>
      <c r="C241" s="44"/>
      <c r="D241" s="45"/>
      <c r="E241" s="44"/>
      <c r="F241" s="43"/>
      <c r="G241" s="43"/>
      <c r="H241" s="43"/>
      <c r="I241" s="46"/>
      <c r="J241" s="47"/>
      <c r="K241" s="48"/>
      <c r="L241" s="49"/>
      <c r="M241" s="49"/>
      <c r="N241" s="50"/>
      <c r="O241" s="43"/>
      <c r="P241" s="43"/>
      <c r="Q241" s="44"/>
      <c r="R241" s="35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43"/>
      <c r="B242" s="40"/>
      <c r="C242" s="44"/>
      <c r="D242" s="45"/>
      <c r="E242" s="44"/>
      <c r="F242" s="43"/>
      <c r="G242" s="43"/>
      <c r="H242" s="43"/>
      <c r="I242" s="46"/>
      <c r="J242" s="47"/>
      <c r="K242" s="48"/>
      <c r="L242" s="49"/>
      <c r="M242" s="49"/>
      <c r="N242" s="50"/>
      <c r="O242" s="43"/>
      <c r="P242" s="43"/>
      <c r="Q242" s="44"/>
      <c r="R242" s="35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43"/>
      <c r="B243" s="40"/>
      <c r="C243" s="44"/>
      <c r="D243" s="45"/>
      <c r="E243" s="44"/>
      <c r="F243" s="43"/>
      <c r="G243" s="43"/>
      <c r="H243" s="43"/>
      <c r="I243" s="46"/>
      <c r="J243" s="47"/>
      <c r="K243" s="48"/>
      <c r="L243" s="49"/>
      <c r="M243" s="49"/>
      <c r="N243" s="50"/>
      <c r="O243" s="43"/>
      <c r="P243" s="43"/>
      <c r="Q243" s="44"/>
      <c r="R243" s="35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43"/>
      <c r="B244" s="40"/>
      <c r="C244" s="44"/>
      <c r="D244" s="45"/>
      <c r="E244" s="44"/>
      <c r="F244" s="43"/>
      <c r="G244" s="43"/>
      <c r="H244" s="43"/>
      <c r="I244" s="46"/>
      <c r="J244" s="47"/>
      <c r="K244" s="48"/>
      <c r="L244" s="49"/>
      <c r="M244" s="49"/>
      <c r="N244" s="50"/>
      <c r="O244" s="43"/>
      <c r="P244" s="43"/>
      <c r="Q244" s="44"/>
      <c r="R244" s="35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43"/>
      <c r="B245" s="40"/>
      <c r="C245" s="44"/>
      <c r="D245" s="45"/>
      <c r="E245" s="44"/>
      <c r="F245" s="43"/>
      <c r="G245" s="43"/>
      <c r="H245" s="43"/>
      <c r="I245" s="46"/>
      <c r="J245" s="47"/>
      <c r="K245" s="48"/>
      <c r="L245" s="49"/>
      <c r="M245" s="49"/>
      <c r="N245" s="50"/>
      <c r="O245" s="43"/>
      <c r="P245" s="43"/>
      <c r="Q245" s="44"/>
      <c r="R245" s="35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43"/>
      <c r="B246" s="40"/>
      <c r="C246" s="44"/>
      <c r="D246" s="45"/>
      <c r="E246" s="44"/>
      <c r="F246" s="43"/>
      <c r="G246" s="43"/>
      <c r="H246" s="43"/>
      <c r="I246" s="46"/>
      <c r="J246" s="47"/>
      <c r="K246" s="48"/>
      <c r="L246" s="49"/>
      <c r="M246" s="49"/>
      <c r="N246" s="50"/>
      <c r="O246" s="43"/>
      <c r="P246" s="43"/>
      <c r="Q246" s="44"/>
      <c r="R246" s="35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43"/>
      <c r="B247" s="40"/>
      <c r="C247" s="44"/>
      <c r="D247" s="45"/>
      <c r="E247" s="44"/>
      <c r="F247" s="43"/>
      <c r="G247" s="43"/>
      <c r="H247" s="43"/>
      <c r="I247" s="46"/>
      <c r="J247" s="47"/>
      <c r="K247" s="48"/>
      <c r="L247" s="49"/>
      <c r="M247" s="49"/>
      <c r="N247" s="50"/>
      <c r="O247" s="43"/>
      <c r="P247" s="43"/>
      <c r="Q247" s="44"/>
      <c r="R247" s="35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43"/>
      <c r="B248" s="40"/>
      <c r="C248" s="44"/>
      <c r="D248" s="45"/>
      <c r="E248" s="44"/>
      <c r="F248" s="43"/>
      <c r="G248" s="43"/>
      <c r="H248" s="43"/>
      <c r="I248" s="46"/>
      <c r="J248" s="47"/>
      <c r="K248" s="48"/>
      <c r="L248" s="49"/>
      <c r="M248" s="49"/>
      <c r="N248" s="50"/>
      <c r="O248" s="43"/>
      <c r="P248" s="43"/>
      <c r="Q248" s="44"/>
      <c r="R248" s="35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43"/>
      <c r="B249" s="40"/>
      <c r="C249" s="44"/>
      <c r="D249" s="45"/>
      <c r="E249" s="44"/>
      <c r="F249" s="43"/>
      <c r="G249" s="43"/>
      <c r="H249" s="43"/>
      <c r="I249" s="46"/>
      <c r="J249" s="47"/>
      <c r="K249" s="48"/>
      <c r="L249" s="49"/>
      <c r="M249" s="49"/>
      <c r="N249" s="50"/>
      <c r="O249" s="43"/>
      <c r="P249" s="43"/>
      <c r="Q249" s="44"/>
      <c r="R249" s="35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43"/>
      <c r="B250" s="40"/>
      <c r="C250" s="44"/>
      <c r="D250" s="45"/>
      <c r="E250" s="44"/>
      <c r="F250" s="43"/>
      <c r="G250" s="43"/>
      <c r="H250" s="43"/>
      <c r="I250" s="46"/>
      <c r="J250" s="47"/>
      <c r="K250" s="48"/>
      <c r="L250" s="49"/>
      <c r="M250" s="49"/>
      <c r="N250" s="50"/>
      <c r="O250" s="43"/>
      <c r="P250" s="43"/>
      <c r="Q250" s="44"/>
      <c r="R250" s="35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43"/>
      <c r="B251" s="40"/>
      <c r="C251" s="44"/>
      <c r="D251" s="45"/>
      <c r="E251" s="44"/>
      <c r="F251" s="43"/>
      <c r="G251" s="43"/>
      <c r="H251" s="43"/>
      <c r="I251" s="46"/>
      <c r="J251" s="47"/>
      <c r="K251" s="48"/>
      <c r="L251" s="49"/>
      <c r="M251" s="49"/>
      <c r="N251" s="50"/>
      <c r="O251" s="43"/>
      <c r="P251" s="43"/>
      <c r="Q251" s="44"/>
      <c r="R251" s="35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43"/>
      <c r="B252" s="40"/>
      <c r="C252" s="44"/>
      <c r="D252" s="45"/>
      <c r="E252" s="44"/>
      <c r="F252" s="43"/>
      <c r="G252" s="43"/>
      <c r="H252" s="43"/>
      <c r="I252" s="46"/>
      <c r="J252" s="47"/>
      <c r="K252" s="48"/>
      <c r="L252" s="49"/>
      <c r="M252" s="49"/>
      <c r="N252" s="50"/>
      <c r="O252" s="43"/>
      <c r="P252" s="43"/>
      <c r="Q252" s="44"/>
      <c r="R252" s="35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43"/>
      <c r="B253" s="40"/>
      <c r="C253" s="44"/>
      <c r="D253" s="45"/>
      <c r="E253" s="44"/>
      <c r="F253" s="43"/>
      <c r="G253" s="43"/>
      <c r="H253" s="43"/>
      <c r="I253" s="46"/>
      <c r="J253" s="47"/>
      <c r="K253" s="48"/>
      <c r="L253" s="49"/>
      <c r="M253" s="49"/>
      <c r="N253" s="50"/>
      <c r="O253" s="43"/>
      <c r="P253" s="43"/>
      <c r="Q253" s="44"/>
      <c r="R253" s="35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43"/>
      <c r="B254" s="40"/>
      <c r="C254" s="44"/>
      <c r="D254" s="45"/>
      <c r="E254" s="44"/>
      <c r="F254" s="43"/>
      <c r="G254" s="43"/>
      <c r="H254" s="43"/>
      <c r="I254" s="46"/>
      <c r="J254" s="47"/>
      <c r="K254" s="48"/>
      <c r="L254" s="49"/>
      <c r="M254" s="49"/>
      <c r="N254" s="50"/>
      <c r="O254" s="43"/>
      <c r="P254" s="43"/>
      <c r="Q254" s="44"/>
      <c r="R254" s="35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43"/>
      <c r="B255" s="40"/>
      <c r="C255" s="44"/>
      <c r="D255" s="45"/>
      <c r="E255" s="44"/>
      <c r="F255" s="43"/>
      <c r="G255" s="43"/>
      <c r="H255" s="43"/>
      <c r="I255" s="46"/>
      <c r="J255" s="47"/>
      <c r="K255" s="48"/>
      <c r="L255" s="49"/>
      <c r="M255" s="49"/>
      <c r="N255" s="50"/>
      <c r="O255" s="43"/>
      <c r="P255" s="43"/>
      <c r="Q255" s="44"/>
      <c r="R255" s="35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43"/>
      <c r="B256" s="40"/>
      <c r="C256" s="44"/>
      <c r="D256" s="45"/>
      <c r="E256" s="44"/>
      <c r="F256" s="43"/>
      <c r="G256" s="43"/>
      <c r="H256" s="43"/>
      <c r="I256" s="46"/>
      <c r="J256" s="47"/>
      <c r="K256" s="48"/>
      <c r="L256" s="49"/>
      <c r="M256" s="49"/>
      <c r="N256" s="50"/>
      <c r="O256" s="43"/>
      <c r="P256" s="43"/>
      <c r="Q256" s="44"/>
      <c r="R256" s="35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43"/>
      <c r="B257" s="40"/>
      <c r="C257" s="44"/>
      <c r="D257" s="45"/>
      <c r="E257" s="44"/>
      <c r="F257" s="43"/>
      <c r="G257" s="43"/>
      <c r="H257" s="43"/>
      <c r="I257" s="46"/>
      <c r="J257" s="47"/>
      <c r="K257" s="48"/>
      <c r="L257" s="49"/>
      <c r="M257" s="49"/>
      <c r="N257" s="50"/>
      <c r="O257" s="43"/>
      <c r="P257" s="43"/>
      <c r="Q257" s="44"/>
      <c r="R257" s="35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43"/>
      <c r="B258" s="40"/>
      <c r="C258" s="44"/>
      <c r="D258" s="45"/>
      <c r="E258" s="44"/>
      <c r="F258" s="43"/>
      <c r="G258" s="43"/>
      <c r="H258" s="43"/>
      <c r="I258" s="46"/>
      <c r="J258" s="47"/>
      <c r="K258" s="48"/>
      <c r="L258" s="49"/>
      <c r="M258" s="49"/>
      <c r="N258" s="50"/>
      <c r="O258" s="43"/>
      <c r="P258" s="43"/>
      <c r="Q258" s="44"/>
      <c r="R258" s="35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43"/>
      <c r="B259" s="40"/>
      <c r="C259" s="44"/>
      <c r="D259" s="45"/>
      <c r="E259" s="44"/>
      <c r="F259" s="43"/>
      <c r="G259" s="43"/>
      <c r="H259" s="43"/>
      <c r="I259" s="46"/>
      <c r="J259" s="47"/>
      <c r="K259" s="48"/>
      <c r="L259" s="49"/>
      <c r="M259" s="49"/>
      <c r="N259" s="50"/>
      <c r="O259" s="43"/>
      <c r="P259" s="43"/>
      <c r="Q259" s="44"/>
      <c r="R259" s="35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43"/>
      <c r="B260" s="40"/>
      <c r="C260" s="44"/>
      <c r="D260" s="45"/>
      <c r="E260" s="44"/>
      <c r="F260" s="43"/>
      <c r="G260" s="43"/>
      <c r="H260" s="43"/>
      <c r="I260" s="46"/>
      <c r="J260" s="47"/>
      <c r="K260" s="48"/>
      <c r="L260" s="49"/>
      <c r="M260" s="49"/>
      <c r="N260" s="50"/>
      <c r="O260" s="43"/>
      <c r="P260" s="43"/>
      <c r="Q260" s="44"/>
      <c r="R260" s="35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43"/>
      <c r="B261" s="40"/>
      <c r="C261" s="44"/>
      <c r="D261" s="45"/>
      <c r="E261" s="44"/>
      <c r="F261" s="43"/>
      <c r="G261" s="43"/>
      <c r="H261" s="43"/>
      <c r="I261" s="46"/>
      <c r="J261" s="47"/>
      <c r="K261" s="48"/>
      <c r="L261" s="49"/>
      <c r="M261" s="49"/>
      <c r="N261" s="50"/>
      <c r="O261" s="43"/>
      <c r="P261" s="43"/>
      <c r="Q261" s="44"/>
      <c r="R261" s="35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43"/>
      <c r="B262" s="40"/>
      <c r="C262" s="44"/>
      <c r="D262" s="45"/>
      <c r="E262" s="44"/>
      <c r="F262" s="43"/>
      <c r="G262" s="43"/>
      <c r="H262" s="43"/>
      <c r="I262" s="46"/>
      <c r="J262" s="47"/>
      <c r="K262" s="48"/>
      <c r="L262" s="49"/>
      <c r="M262" s="49"/>
      <c r="N262" s="50"/>
      <c r="O262" s="43"/>
      <c r="P262" s="43"/>
      <c r="Q262" s="44"/>
      <c r="R262" s="35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43"/>
      <c r="B263" s="40"/>
      <c r="C263" s="44"/>
      <c r="D263" s="45"/>
      <c r="E263" s="44"/>
      <c r="F263" s="43"/>
      <c r="G263" s="43"/>
      <c r="H263" s="43"/>
      <c r="I263" s="46"/>
      <c r="J263" s="47"/>
      <c r="K263" s="48"/>
      <c r="L263" s="49"/>
      <c r="M263" s="49"/>
      <c r="N263" s="50"/>
      <c r="O263" s="43"/>
      <c r="P263" s="43"/>
      <c r="Q263" s="44"/>
      <c r="R263" s="35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43"/>
      <c r="B264" s="40"/>
      <c r="C264" s="44"/>
      <c r="D264" s="45"/>
      <c r="E264" s="44"/>
      <c r="F264" s="43"/>
      <c r="G264" s="43"/>
      <c r="H264" s="43"/>
      <c r="I264" s="46"/>
      <c r="J264" s="47"/>
      <c r="K264" s="48"/>
      <c r="L264" s="49"/>
      <c r="M264" s="49"/>
      <c r="N264" s="50"/>
      <c r="O264" s="43"/>
      <c r="P264" s="43"/>
      <c r="Q264" s="44"/>
      <c r="R264" s="35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43"/>
      <c r="B265" s="40"/>
      <c r="C265" s="44"/>
      <c r="D265" s="45"/>
      <c r="E265" s="44"/>
      <c r="F265" s="43"/>
      <c r="G265" s="43"/>
      <c r="H265" s="43"/>
      <c r="I265" s="46"/>
      <c r="J265" s="47"/>
      <c r="K265" s="48"/>
      <c r="L265" s="49"/>
      <c r="M265" s="49"/>
      <c r="N265" s="50"/>
      <c r="O265" s="43"/>
      <c r="P265" s="43"/>
      <c r="Q265" s="44"/>
      <c r="R265" s="35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43"/>
      <c r="B266" s="40"/>
      <c r="C266" s="44"/>
      <c r="D266" s="45"/>
      <c r="E266" s="44"/>
      <c r="F266" s="43"/>
      <c r="G266" s="43"/>
      <c r="H266" s="43"/>
      <c r="I266" s="46"/>
      <c r="J266" s="47"/>
      <c r="K266" s="48"/>
      <c r="L266" s="49"/>
      <c r="M266" s="49"/>
      <c r="N266" s="50"/>
      <c r="O266" s="43"/>
      <c r="P266" s="43"/>
      <c r="Q266" s="44"/>
      <c r="R266" s="35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43"/>
      <c r="B267" s="40"/>
      <c r="C267" s="44"/>
      <c r="D267" s="45"/>
      <c r="E267" s="44"/>
      <c r="F267" s="43"/>
      <c r="G267" s="43"/>
      <c r="H267" s="43"/>
      <c r="I267" s="46"/>
      <c r="J267" s="47"/>
      <c r="K267" s="48"/>
      <c r="L267" s="49"/>
      <c r="M267" s="49"/>
      <c r="N267" s="50"/>
      <c r="O267" s="43"/>
      <c r="P267" s="43"/>
      <c r="Q267" s="44"/>
      <c r="R267" s="35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43"/>
      <c r="B268" s="40"/>
      <c r="C268" s="44"/>
      <c r="D268" s="45"/>
      <c r="E268" s="44"/>
      <c r="F268" s="43"/>
      <c r="G268" s="43"/>
      <c r="H268" s="43"/>
      <c r="I268" s="46"/>
      <c r="J268" s="47"/>
      <c r="K268" s="48"/>
      <c r="L268" s="49"/>
      <c r="M268" s="49"/>
      <c r="N268" s="50"/>
      <c r="O268" s="43"/>
      <c r="P268" s="43"/>
      <c r="Q268" s="44"/>
      <c r="R268" s="35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43"/>
      <c r="B269" s="40"/>
      <c r="C269" s="44"/>
      <c r="D269" s="45"/>
      <c r="E269" s="44"/>
      <c r="F269" s="43"/>
      <c r="G269" s="43"/>
      <c r="H269" s="43"/>
      <c r="I269" s="46"/>
      <c r="J269" s="47"/>
      <c r="K269" s="48"/>
      <c r="L269" s="49"/>
      <c r="M269" s="49"/>
      <c r="N269" s="50"/>
      <c r="O269" s="43"/>
      <c r="P269" s="43"/>
      <c r="Q269" s="44"/>
      <c r="R269" s="35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43"/>
      <c r="B270" s="40"/>
      <c r="C270" s="44"/>
      <c r="D270" s="45"/>
      <c r="E270" s="44"/>
      <c r="F270" s="43"/>
      <c r="G270" s="43"/>
      <c r="H270" s="43"/>
      <c r="I270" s="46"/>
      <c r="J270" s="47"/>
      <c r="K270" s="48"/>
      <c r="L270" s="49"/>
      <c r="M270" s="49"/>
      <c r="N270" s="50"/>
      <c r="O270" s="43"/>
      <c r="P270" s="43"/>
      <c r="Q270" s="44"/>
      <c r="R270" s="35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43"/>
      <c r="B271" s="40"/>
      <c r="C271" s="44"/>
      <c r="D271" s="45"/>
      <c r="E271" s="44"/>
      <c r="F271" s="43"/>
      <c r="G271" s="43"/>
      <c r="H271" s="43"/>
      <c r="I271" s="46"/>
      <c r="J271" s="47"/>
      <c r="K271" s="48"/>
      <c r="L271" s="49"/>
      <c r="M271" s="49"/>
      <c r="N271" s="50"/>
      <c r="O271" s="43"/>
      <c r="P271" s="43"/>
      <c r="Q271" s="44"/>
      <c r="R271" s="35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43"/>
      <c r="B272" s="40"/>
      <c r="C272" s="44"/>
      <c r="D272" s="45"/>
      <c r="E272" s="44"/>
      <c r="F272" s="43"/>
      <c r="G272" s="43"/>
      <c r="H272" s="43"/>
      <c r="I272" s="46"/>
      <c r="J272" s="47"/>
      <c r="K272" s="48"/>
      <c r="L272" s="49"/>
      <c r="M272" s="49"/>
      <c r="N272" s="50"/>
      <c r="O272" s="43"/>
      <c r="P272" s="43"/>
      <c r="Q272" s="44"/>
      <c r="R272" s="35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43"/>
      <c r="B273" s="40"/>
      <c r="C273" s="44"/>
      <c r="D273" s="45"/>
      <c r="E273" s="44"/>
      <c r="F273" s="43"/>
      <c r="G273" s="43"/>
      <c r="H273" s="43"/>
      <c r="I273" s="46"/>
      <c r="J273" s="47"/>
      <c r="K273" s="48"/>
      <c r="L273" s="49"/>
      <c r="M273" s="49"/>
      <c r="N273" s="50"/>
      <c r="O273" s="43"/>
      <c r="P273" s="43"/>
      <c r="Q273" s="44"/>
      <c r="R273" s="35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43"/>
      <c r="B274" s="40"/>
      <c r="C274" s="44"/>
      <c r="D274" s="45"/>
      <c r="E274" s="44"/>
      <c r="F274" s="43"/>
      <c r="G274" s="43"/>
      <c r="H274" s="43"/>
      <c r="I274" s="46"/>
      <c r="J274" s="47"/>
      <c r="K274" s="48"/>
      <c r="L274" s="49"/>
      <c r="M274" s="49"/>
      <c r="N274" s="50"/>
      <c r="O274" s="43"/>
      <c r="P274" s="43"/>
      <c r="Q274" s="44"/>
      <c r="R274" s="35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43"/>
      <c r="B275" s="40"/>
      <c r="C275" s="44"/>
      <c r="D275" s="45"/>
      <c r="E275" s="44"/>
      <c r="F275" s="43"/>
      <c r="G275" s="43"/>
      <c r="H275" s="43"/>
      <c r="I275" s="46"/>
      <c r="J275" s="47"/>
      <c r="K275" s="48"/>
      <c r="L275" s="49"/>
      <c r="M275" s="49"/>
      <c r="N275" s="50"/>
      <c r="O275" s="43"/>
      <c r="P275" s="43"/>
      <c r="Q275" s="44"/>
      <c r="R275" s="35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43"/>
      <c r="B276" s="40"/>
      <c r="C276" s="44"/>
      <c r="D276" s="45"/>
      <c r="E276" s="44"/>
      <c r="F276" s="43"/>
      <c r="G276" s="43"/>
      <c r="H276" s="43"/>
      <c r="I276" s="46"/>
      <c r="J276" s="47"/>
      <c r="K276" s="48"/>
      <c r="L276" s="49"/>
      <c r="M276" s="49"/>
      <c r="N276" s="50"/>
      <c r="O276" s="43"/>
      <c r="P276" s="43"/>
      <c r="Q276" s="44"/>
      <c r="R276" s="35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43"/>
      <c r="B277" s="40"/>
      <c r="C277" s="44"/>
      <c r="D277" s="45"/>
      <c r="E277" s="44"/>
      <c r="F277" s="43"/>
      <c r="G277" s="43"/>
      <c r="H277" s="43"/>
      <c r="I277" s="46"/>
      <c r="J277" s="47"/>
      <c r="K277" s="48"/>
      <c r="L277" s="49"/>
      <c r="M277" s="49"/>
      <c r="N277" s="50"/>
      <c r="O277" s="43"/>
      <c r="P277" s="43"/>
      <c r="Q277" s="44"/>
      <c r="R277" s="35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43"/>
      <c r="B278" s="40"/>
      <c r="C278" s="44"/>
      <c r="D278" s="45"/>
      <c r="E278" s="44"/>
      <c r="F278" s="43"/>
      <c r="G278" s="43"/>
      <c r="H278" s="43"/>
      <c r="I278" s="46"/>
      <c r="J278" s="47"/>
      <c r="K278" s="48"/>
      <c r="L278" s="49"/>
      <c r="M278" s="49"/>
      <c r="N278" s="50"/>
      <c r="O278" s="43"/>
      <c r="P278" s="43"/>
      <c r="Q278" s="44"/>
      <c r="R278" s="35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43"/>
      <c r="B279" s="40"/>
      <c r="C279" s="44"/>
      <c r="D279" s="45"/>
      <c r="E279" s="44"/>
      <c r="F279" s="43"/>
      <c r="G279" s="43"/>
      <c r="H279" s="43"/>
      <c r="I279" s="46"/>
      <c r="J279" s="47"/>
      <c r="K279" s="48"/>
      <c r="L279" s="49"/>
      <c r="M279" s="49"/>
      <c r="N279" s="50"/>
      <c r="O279" s="43"/>
      <c r="P279" s="43"/>
      <c r="Q279" s="44"/>
      <c r="R279" s="35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43"/>
      <c r="B280" s="40"/>
      <c r="C280" s="44"/>
      <c r="D280" s="45"/>
      <c r="E280" s="44"/>
      <c r="F280" s="43"/>
      <c r="G280" s="43"/>
      <c r="H280" s="43"/>
      <c r="I280" s="46"/>
      <c r="J280" s="47"/>
      <c r="K280" s="48"/>
      <c r="L280" s="49"/>
      <c r="M280" s="49"/>
      <c r="N280" s="50"/>
      <c r="O280" s="43"/>
      <c r="P280" s="43"/>
      <c r="Q280" s="44"/>
      <c r="R280" s="35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43"/>
      <c r="B281" s="40"/>
      <c r="C281" s="44"/>
      <c r="D281" s="45"/>
      <c r="E281" s="44"/>
      <c r="F281" s="43"/>
      <c r="G281" s="43"/>
      <c r="H281" s="43"/>
      <c r="I281" s="46"/>
      <c r="J281" s="47"/>
      <c r="K281" s="48"/>
      <c r="L281" s="49"/>
      <c r="M281" s="49"/>
      <c r="N281" s="50"/>
      <c r="O281" s="43"/>
      <c r="P281" s="43"/>
      <c r="Q281" s="44"/>
      <c r="R281" s="35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43"/>
      <c r="B282" s="40"/>
      <c r="C282" s="44"/>
      <c r="D282" s="45"/>
      <c r="E282" s="44"/>
      <c r="F282" s="43"/>
      <c r="G282" s="43"/>
      <c r="H282" s="43"/>
      <c r="I282" s="46"/>
      <c r="J282" s="47"/>
      <c r="K282" s="48"/>
      <c r="L282" s="49"/>
      <c r="M282" s="49"/>
      <c r="N282" s="50"/>
      <c r="O282" s="43"/>
      <c r="P282" s="43"/>
      <c r="Q282" s="44"/>
      <c r="R282" s="35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43"/>
      <c r="B283" s="40"/>
      <c r="C283" s="44"/>
      <c r="D283" s="45"/>
      <c r="E283" s="44"/>
      <c r="F283" s="43"/>
      <c r="G283" s="43"/>
      <c r="H283" s="43"/>
      <c r="I283" s="46"/>
      <c r="J283" s="47"/>
      <c r="K283" s="48"/>
      <c r="L283" s="49"/>
      <c r="M283" s="49"/>
      <c r="N283" s="50"/>
      <c r="O283" s="43"/>
      <c r="P283" s="43"/>
      <c r="Q283" s="44"/>
      <c r="R283" s="35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43"/>
      <c r="B284" s="40"/>
      <c r="C284" s="44"/>
      <c r="D284" s="45"/>
      <c r="E284" s="44"/>
      <c r="F284" s="43"/>
      <c r="G284" s="43"/>
      <c r="H284" s="43"/>
      <c r="I284" s="46"/>
      <c r="J284" s="47"/>
      <c r="K284" s="48"/>
      <c r="L284" s="49"/>
      <c r="M284" s="49"/>
      <c r="N284" s="50"/>
      <c r="O284" s="43"/>
      <c r="P284" s="43"/>
      <c r="Q284" s="44"/>
      <c r="R284" s="35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43"/>
      <c r="B285" s="40"/>
      <c r="C285" s="44"/>
      <c r="D285" s="45"/>
      <c r="E285" s="44"/>
      <c r="F285" s="43"/>
      <c r="G285" s="43"/>
      <c r="H285" s="43"/>
      <c r="I285" s="46"/>
      <c r="J285" s="47"/>
      <c r="K285" s="48"/>
      <c r="L285" s="49"/>
      <c r="M285" s="49"/>
      <c r="N285" s="50"/>
      <c r="O285" s="43"/>
      <c r="P285" s="43"/>
      <c r="Q285" s="44"/>
      <c r="R285" s="35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43"/>
      <c r="B286" s="40"/>
      <c r="C286" s="44"/>
      <c r="D286" s="45"/>
      <c r="E286" s="44"/>
      <c r="F286" s="43"/>
      <c r="G286" s="43"/>
      <c r="H286" s="43"/>
      <c r="I286" s="46"/>
      <c r="J286" s="47"/>
      <c r="K286" s="48"/>
      <c r="L286" s="49"/>
      <c r="M286" s="49"/>
      <c r="N286" s="50"/>
      <c r="O286" s="43"/>
      <c r="P286" s="43"/>
      <c r="Q286" s="44"/>
      <c r="R286" s="35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43"/>
      <c r="B287" s="40"/>
      <c r="C287" s="44"/>
      <c r="D287" s="45"/>
      <c r="E287" s="44"/>
      <c r="F287" s="43"/>
      <c r="G287" s="43"/>
      <c r="H287" s="43"/>
      <c r="I287" s="46"/>
      <c r="J287" s="47"/>
      <c r="K287" s="48"/>
      <c r="L287" s="49"/>
      <c r="M287" s="49"/>
      <c r="N287" s="50"/>
      <c r="O287" s="43"/>
      <c r="P287" s="43"/>
      <c r="Q287" s="44"/>
      <c r="R287" s="35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43"/>
      <c r="B288" s="40"/>
      <c r="C288" s="44"/>
      <c r="D288" s="45"/>
      <c r="E288" s="44"/>
      <c r="F288" s="43"/>
      <c r="G288" s="43"/>
      <c r="H288" s="43"/>
      <c r="I288" s="46"/>
      <c r="J288" s="47"/>
      <c r="K288" s="48"/>
      <c r="L288" s="49"/>
      <c r="M288" s="49"/>
      <c r="N288" s="50"/>
      <c r="O288" s="43"/>
      <c r="P288" s="43"/>
      <c r="Q288" s="44"/>
      <c r="R288" s="35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43"/>
      <c r="B289" s="40"/>
      <c r="C289" s="44"/>
      <c r="D289" s="45"/>
      <c r="E289" s="44"/>
      <c r="F289" s="43"/>
      <c r="G289" s="43"/>
      <c r="H289" s="43"/>
      <c r="I289" s="46"/>
      <c r="J289" s="47"/>
      <c r="K289" s="48"/>
      <c r="L289" s="49"/>
      <c r="M289" s="49"/>
      <c r="N289" s="50"/>
      <c r="O289" s="43"/>
      <c r="P289" s="43"/>
      <c r="Q289" s="44"/>
      <c r="R289" s="35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43"/>
      <c r="B290" s="40"/>
      <c r="C290" s="44"/>
      <c r="D290" s="45"/>
      <c r="E290" s="44"/>
      <c r="F290" s="43"/>
      <c r="G290" s="43"/>
      <c r="H290" s="43"/>
      <c r="I290" s="46"/>
      <c r="J290" s="47"/>
      <c r="K290" s="48"/>
      <c r="L290" s="49"/>
      <c r="M290" s="49"/>
      <c r="N290" s="50"/>
      <c r="O290" s="43"/>
      <c r="P290" s="43"/>
      <c r="Q290" s="44"/>
      <c r="R290" s="35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43"/>
      <c r="B291" s="40"/>
      <c r="C291" s="44"/>
      <c r="D291" s="45"/>
      <c r="E291" s="44"/>
      <c r="F291" s="43"/>
      <c r="G291" s="43"/>
      <c r="H291" s="43"/>
      <c r="I291" s="46"/>
      <c r="J291" s="47"/>
      <c r="K291" s="48"/>
      <c r="L291" s="49"/>
      <c r="M291" s="49"/>
      <c r="N291" s="50"/>
      <c r="O291" s="43"/>
      <c r="P291" s="43"/>
      <c r="Q291" s="44"/>
      <c r="R291" s="35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43"/>
      <c r="B292" s="40"/>
      <c r="C292" s="44"/>
      <c r="D292" s="45"/>
      <c r="E292" s="44"/>
      <c r="F292" s="43"/>
      <c r="G292" s="43"/>
      <c r="H292" s="43"/>
      <c r="I292" s="46"/>
      <c r="J292" s="47"/>
      <c r="K292" s="48"/>
      <c r="L292" s="49"/>
      <c r="M292" s="49"/>
      <c r="N292" s="50"/>
      <c r="O292" s="43"/>
      <c r="P292" s="43"/>
      <c r="Q292" s="44"/>
      <c r="R292" s="35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43"/>
      <c r="B293" s="40"/>
      <c r="C293" s="44"/>
      <c r="D293" s="45"/>
      <c r="E293" s="44"/>
      <c r="F293" s="43"/>
      <c r="G293" s="43"/>
      <c r="H293" s="43"/>
      <c r="I293" s="46"/>
      <c r="J293" s="47"/>
      <c r="K293" s="48"/>
      <c r="L293" s="49"/>
      <c r="M293" s="49"/>
      <c r="N293" s="50"/>
      <c r="O293" s="43"/>
      <c r="P293" s="43"/>
      <c r="Q293" s="44"/>
      <c r="R293" s="35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43"/>
      <c r="B294" s="40"/>
      <c r="C294" s="44"/>
      <c r="D294" s="45"/>
      <c r="E294" s="44"/>
      <c r="F294" s="43"/>
      <c r="G294" s="43"/>
      <c r="H294" s="43"/>
      <c r="I294" s="46"/>
      <c r="J294" s="47"/>
      <c r="K294" s="48"/>
      <c r="L294" s="49"/>
      <c r="M294" s="49"/>
      <c r="N294" s="50"/>
      <c r="O294" s="43"/>
      <c r="P294" s="43"/>
      <c r="Q294" s="44"/>
      <c r="R294" s="35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43"/>
      <c r="B295" s="40"/>
      <c r="C295" s="44"/>
      <c r="D295" s="45"/>
      <c r="E295" s="44"/>
      <c r="F295" s="43"/>
      <c r="G295" s="43"/>
      <c r="H295" s="43"/>
      <c r="I295" s="46"/>
      <c r="J295" s="47"/>
      <c r="K295" s="48"/>
      <c r="L295" s="49"/>
      <c r="M295" s="49"/>
      <c r="N295" s="50"/>
      <c r="O295" s="43"/>
      <c r="P295" s="43"/>
      <c r="Q295" s="44"/>
      <c r="R295" s="35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43"/>
      <c r="B296" s="40"/>
      <c r="C296" s="44"/>
      <c r="D296" s="45"/>
      <c r="E296" s="44"/>
      <c r="F296" s="43"/>
      <c r="G296" s="43"/>
      <c r="H296" s="43"/>
      <c r="I296" s="46"/>
      <c r="J296" s="47"/>
      <c r="K296" s="48"/>
      <c r="L296" s="49"/>
      <c r="M296" s="49"/>
      <c r="N296" s="50"/>
      <c r="O296" s="43"/>
      <c r="P296" s="43"/>
      <c r="Q296" s="44"/>
      <c r="R296" s="35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43"/>
      <c r="B297" s="40"/>
      <c r="C297" s="44"/>
      <c r="D297" s="45"/>
      <c r="E297" s="44"/>
      <c r="F297" s="43"/>
      <c r="G297" s="43"/>
      <c r="H297" s="43"/>
      <c r="I297" s="46"/>
      <c r="J297" s="47"/>
      <c r="K297" s="48"/>
      <c r="L297" s="49"/>
      <c r="M297" s="49"/>
      <c r="N297" s="50"/>
      <c r="O297" s="43"/>
      <c r="P297" s="43"/>
      <c r="Q297" s="44"/>
      <c r="R297" s="35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43"/>
      <c r="B298" s="40"/>
      <c r="C298" s="44"/>
      <c r="D298" s="45"/>
      <c r="E298" s="44"/>
      <c r="F298" s="43"/>
      <c r="G298" s="43"/>
      <c r="H298" s="43"/>
      <c r="I298" s="46"/>
      <c r="J298" s="47"/>
      <c r="K298" s="48"/>
      <c r="L298" s="49"/>
      <c r="M298" s="49"/>
      <c r="N298" s="50"/>
      <c r="O298" s="43"/>
      <c r="P298" s="43"/>
      <c r="Q298" s="44"/>
      <c r="R298" s="35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43"/>
      <c r="B299" s="40"/>
      <c r="C299" s="44"/>
      <c r="D299" s="45"/>
      <c r="E299" s="44"/>
      <c r="F299" s="43"/>
      <c r="G299" s="43"/>
      <c r="H299" s="43"/>
      <c r="I299" s="46"/>
      <c r="J299" s="47"/>
      <c r="K299" s="48"/>
      <c r="L299" s="49"/>
      <c r="M299" s="49"/>
      <c r="N299" s="50"/>
      <c r="O299" s="43"/>
      <c r="P299" s="43"/>
      <c r="Q299" s="44"/>
      <c r="R299" s="35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43"/>
      <c r="B300" s="40"/>
      <c r="C300" s="44"/>
      <c r="D300" s="45"/>
      <c r="E300" s="44"/>
      <c r="F300" s="43"/>
      <c r="G300" s="43"/>
      <c r="H300" s="43"/>
      <c r="I300" s="46"/>
      <c r="J300" s="47"/>
      <c r="K300" s="48"/>
      <c r="L300" s="49"/>
      <c r="M300" s="49"/>
      <c r="N300" s="50"/>
      <c r="O300" s="43"/>
      <c r="P300" s="43"/>
      <c r="Q300" s="44"/>
      <c r="R300" s="35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43"/>
      <c r="B301" s="40"/>
      <c r="C301" s="44"/>
      <c r="D301" s="45"/>
      <c r="E301" s="44"/>
      <c r="F301" s="43"/>
      <c r="G301" s="43"/>
      <c r="H301" s="43"/>
      <c r="I301" s="46"/>
      <c r="J301" s="47"/>
      <c r="K301" s="48"/>
      <c r="L301" s="49"/>
      <c r="M301" s="49"/>
      <c r="N301" s="50"/>
      <c r="O301" s="43"/>
      <c r="P301" s="43"/>
      <c r="Q301" s="44"/>
      <c r="R301" s="35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43"/>
      <c r="B302" s="40"/>
      <c r="C302" s="44"/>
      <c r="D302" s="45"/>
      <c r="E302" s="44"/>
      <c r="F302" s="43"/>
      <c r="G302" s="43"/>
      <c r="H302" s="43"/>
      <c r="I302" s="46"/>
      <c r="J302" s="47"/>
      <c r="K302" s="48"/>
      <c r="L302" s="49"/>
      <c r="M302" s="49"/>
      <c r="N302" s="50"/>
      <c r="O302" s="43"/>
      <c r="P302" s="43"/>
      <c r="Q302" s="44"/>
      <c r="R302" s="35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43"/>
      <c r="B303" s="40"/>
      <c r="C303" s="44"/>
      <c r="D303" s="45"/>
      <c r="E303" s="44"/>
      <c r="F303" s="43"/>
      <c r="G303" s="43"/>
      <c r="H303" s="43"/>
      <c r="I303" s="46"/>
      <c r="J303" s="47"/>
      <c r="K303" s="48"/>
      <c r="L303" s="49"/>
      <c r="M303" s="49"/>
      <c r="N303" s="50"/>
      <c r="O303" s="43"/>
      <c r="P303" s="43"/>
      <c r="Q303" s="44"/>
      <c r="R303" s="35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43"/>
      <c r="B304" s="40"/>
      <c r="C304" s="44"/>
      <c r="D304" s="45"/>
      <c r="E304" s="44"/>
      <c r="F304" s="43"/>
      <c r="G304" s="43"/>
      <c r="H304" s="43"/>
      <c r="I304" s="46"/>
      <c r="J304" s="47"/>
      <c r="K304" s="48"/>
      <c r="L304" s="49"/>
      <c r="M304" s="49"/>
      <c r="N304" s="50"/>
      <c r="O304" s="43"/>
      <c r="P304" s="43"/>
      <c r="Q304" s="44"/>
      <c r="R304" s="35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43"/>
      <c r="B305" s="40"/>
      <c r="C305" s="44"/>
      <c r="D305" s="45"/>
      <c r="E305" s="44"/>
      <c r="F305" s="43"/>
      <c r="G305" s="43"/>
      <c r="H305" s="43"/>
      <c r="I305" s="46"/>
      <c r="J305" s="47"/>
      <c r="K305" s="48"/>
      <c r="L305" s="49"/>
      <c r="M305" s="49"/>
      <c r="N305" s="50"/>
      <c r="O305" s="43"/>
      <c r="P305" s="43"/>
      <c r="Q305" s="44"/>
      <c r="R305" s="35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43"/>
      <c r="B306" s="40"/>
      <c r="C306" s="44"/>
      <c r="D306" s="45"/>
      <c r="E306" s="44"/>
      <c r="F306" s="43"/>
      <c r="G306" s="43"/>
      <c r="H306" s="43"/>
      <c r="I306" s="46"/>
      <c r="J306" s="47"/>
      <c r="K306" s="48"/>
      <c r="L306" s="49"/>
      <c r="M306" s="49"/>
      <c r="N306" s="50"/>
      <c r="O306" s="43"/>
      <c r="P306" s="43"/>
      <c r="Q306" s="44"/>
      <c r="R306" s="35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43"/>
      <c r="B307" s="40"/>
      <c r="C307" s="44"/>
      <c r="D307" s="45"/>
      <c r="E307" s="44"/>
      <c r="F307" s="43"/>
      <c r="G307" s="43"/>
      <c r="H307" s="43"/>
      <c r="I307" s="46"/>
      <c r="J307" s="47"/>
      <c r="K307" s="48"/>
      <c r="L307" s="49"/>
      <c r="M307" s="49"/>
      <c r="N307" s="50"/>
      <c r="O307" s="43"/>
      <c r="P307" s="43"/>
      <c r="Q307" s="44"/>
      <c r="R307" s="35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43"/>
      <c r="B308" s="40"/>
      <c r="C308" s="44"/>
      <c r="D308" s="45"/>
      <c r="E308" s="44"/>
      <c r="F308" s="43"/>
      <c r="G308" s="43"/>
      <c r="H308" s="43"/>
      <c r="I308" s="46"/>
      <c r="J308" s="47"/>
      <c r="K308" s="48"/>
      <c r="L308" s="49"/>
      <c r="M308" s="49"/>
      <c r="N308" s="50"/>
      <c r="O308" s="43"/>
      <c r="P308" s="43"/>
      <c r="Q308" s="44"/>
      <c r="R308" s="35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43"/>
      <c r="B309" s="40"/>
      <c r="C309" s="44"/>
      <c r="D309" s="45"/>
      <c r="E309" s="44"/>
      <c r="F309" s="43"/>
      <c r="G309" s="43"/>
      <c r="H309" s="43"/>
      <c r="I309" s="46"/>
      <c r="J309" s="47"/>
      <c r="K309" s="48"/>
      <c r="L309" s="49"/>
      <c r="M309" s="49"/>
      <c r="N309" s="50"/>
      <c r="O309" s="43"/>
      <c r="P309" s="43"/>
      <c r="Q309" s="44"/>
      <c r="R309" s="35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43"/>
      <c r="B310" s="40"/>
      <c r="C310" s="44"/>
      <c r="D310" s="45"/>
      <c r="E310" s="44"/>
      <c r="F310" s="43"/>
      <c r="G310" s="43"/>
      <c r="H310" s="43"/>
      <c r="I310" s="46"/>
      <c r="J310" s="47"/>
      <c r="K310" s="48"/>
      <c r="L310" s="49"/>
      <c r="M310" s="49"/>
      <c r="N310" s="50"/>
      <c r="O310" s="43"/>
      <c r="P310" s="43"/>
      <c r="Q310" s="44"/>
      <c r="R310" s="35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43"/>
      <c r="B311" s="40"/>
      <c r="C311" s="44"/>
      <c r="D311" s="45"/>
      <c r="E311" s="44"/>
      <c r="F311" s="43"/>
      <c r="G311" s="43"/>
      <c r="H311" s="43"/>
      <c r="I311" s="46"/>
      <c r="J311" s="47"/>
      <c r="K311" s="48"/>
      <c r="L311" s="49"/>
      <c r="M311" s="49"/>
      <c r="N311" s="50"/>
      <c r="O311" s="43"/>
      <c r="P311" s="43"/>
      <c r="Q311" s="44"/>
      <c r="R311" s="35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43"/>
      <c r="B312" s="40"/>
      <c r="C312" s="44"/>
      <c r="D312" s="45"/>
      <c r="E312" s="44"/>
      <c r="F312" s="43"/>
      <c r="G312" s="43"/>
      <c r="H312" s="43"/>
      <c r="I312" s="46"/>
      <c r="J312" s="47"/>
      <c r="K312" s="48"/>
      <c r="L312" s="49"/>
      <c r="M312" s="49"/>
      <c r="N312" s="50"/>
      <c r="O312" s="43"/>
      <c r="P312" s="43"/>
      <c r="Q312" s="44"/>
      <c r="R312" s="35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43"/>
      <c r="B313" s="40"/>
      <c r="C313" s="44"/>
      <c r="D313" s="45"/>
      <c r="E313" s="44"/>
      <c r="F313" s="43"/>
      <c r="G313" s="43"/>
      <c r="H313" s="43"/>
      <c r="I313" s="46"/>
      <c r="J313" s="47"/>
      <c r="K313" s="48"/>
      <c r="L313" s="49"/>
      <c r="M313" s="49"/>
      <c r="N313" s="50"/>
      <c r="O313" s="43"/>
      <c r="P313" s="43"/>
      <c r="Q313" s="44"/>
      <c r="R313" s="35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43"/>
      <c r="B314" s="40"/>
      <c r="C314" s="44"/>
      <c r="D314" s="45"/>
      <c r="E314" s="44"/>
      <c r="F314" s="43"/>
      <c r="G314" s="43"/>
      <c r="H314" s="43"/>
      <c r="I314" s="46"/>
      <c r="J314" s="47"/>
      <c r="K314" s="48"/>
      <c r="L314" s="49"/>
      <c r="M314" s="49"/>
      <c r="N314" s="50"/>
      <c r="O314" s="43"/>
      <c r="P314" s="43"/>
      <c r="Q314" s="44"/>
      <c r="R314" s="35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43"/>
      <c r="B315" s="40"/>
      <c r="C315" s="44"/>
      <c r="D315" s="45"/>
      <c r="E315" s="44"/>
      <c r="F315" s="43"/>
      <c r="G315" s="43"/>
      <c r="H315" s="43"/>
      <c r="I315" s="46"/>
      <c r="J315" s="47"/>
      <c r="K315" s="48"/>
      <c r="L315" s="49"/>
      <c r="M315" s="49"/>
      <c r="N315" s="50"/>
      <c r="O315" s="43"/>
      <c r="P315" s="43"/>
      <c r="Q315" s="44"/>
      <c r="R315" s="35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43"/>
      <c r="B316" s="40"/>
      <c r="C316" s="44"/>
      <c r="D316" s="45"/>
      <c r="E316" s="44"/>
      <c r="F316" s="43"/>
      <c r="G316" s="43"/>
      <c r="H316" s="43"/>
      <c r="I316" s="46"/>
      <c r="J316" s="47"/>
      <c r="K316" s="48"/>
      <c r="L316" s="49"/>
      <c r="M316" s="49"/>
      <c r="N316" s="50"/>
      <c r="O316" s="43"/>
      <c r="P316" s="43"/>
      <c r="Q316" s="44"/>
      <c r="R316" s="35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43"/>
      <c r="B317" s="40"/>
      <c r="C317" s="44"/>
      <c r="D317" s="45"/>
      <c r="E317" s="44"/>
      <c r="F317" s="43"/>
      <c r="G317" s="43"/>
      <c r="H317" s="43"/>
      <c r="I317" s="46"/>
      <c r="J317" s="47"/>
      <c r="K317" s="48"/>
      <c r="L317" s="49"/>
      <c r="M317" s="49"/>
      <c r="N317" s="50"/>
      <c r="O317" s="43"/>
      <c r="P317" s="43"/>
      <c r="Q317" s="44"/>
      <c r="R317" s="35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43"/>
      <c r="B318" s="40"/>
      <c r="C318" s="44"/>
      <c r="D318" s="45"/>
      <c r="E318" s="44"/>
      <c r="F318" s="43"/>
      <c r="G318" s="43"/>
      <c r="H318" s="43"/>
      <c r="I318" s="46"/>
      <c r="J318" s="47"/>
      <c r="K318" s="48"/>
      <c r="L318" s="49"/>
      <c r="M318" s="49"/>
      <c r="N318" s="50"/>
      <c r="O318" s="43"/>
      <c r="P318" s="43"/>
      <c r="Q318" s="44"/>
      <c r="R318" s="35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43"/>
      <c r="B319" s="40"/>
      <c r="C319" s="44"/>
      <c r="D319" s="45"/>
      <c r="E319" s="44"/>
      <c r="F319" s="43"/>
      <c r="G319" s="43"/>
      <c r="H319" s="43"/>
      <c r="I319" s="46"/>
      <c r="J319" s="47"/>
      <c r="K319" s="48"/>
      <c r="L319" s="49"/>
      <c r="M319" s="49"/>
      <c r="N319" s="50"/>
      <c r="O319" s="43"/>
      <c r="P319" s="43"/>
      <c r="Q319" s="44"/>
      <c r="R319" s="35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43"/>
      <c r="B320" s="40"/>
      <c r="C320" s="44"/>
      <c r="D320" s="45"/>
      <c r="E320" s="44"/>
      <c r="F320" s="43"/>
      <c r="G320" s="43"/>
      <c r="H320" s="43"/>
      <c r="I320" s="46"/>
      <c r="J320" s="47"/>
      <c r="K320" s="48"/>
      <c r="L320" s="49"/>
      <c r="M320" s="49"/>
      <c r="N320" s="50"/>
      <c r="O320" s="43"/>
      <c r="P320" s="43"/>
      <c r="Q320" s="44"/>
      <c r="R320" s="35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43"/>
      <c r="B321" s="40"/>
      <c r="C321" s="44"/>
      <c r="D321" s="45"/>
      <c r="E321" s="44"/>
      <c r="F321" s="43"/>
      <c r="G321" s="43"/>
      <c r="H321" s="43"/>
      <c r="I321" s="46"/>
      <c r="J321" s="47"/>
      <c r="K321" s="48"/>
      <c r="L321" s="49"/>
      <c r="M321" s="49"/>
      <c r="N321" s="50"/>
      <c r="O321" s="43"/>
      <c r="P321" s="43"/>
      <c r="Q321" s="44"/>
      <c r="R321" s="35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43"/>
      <c r="B322" s="40"/>
      <c r="C322" s="44"/>
      <c r="D322" s="45"/>
      <c r="E322" s="44"/>
      <c r="F322" s="43"/>
      <c r="G322" s="43"/>
      <c r="H322" s="43"/>
      <c r="I322" s="46"/>
      <c r="J322" s="47"/>
      <c r="K322" s="48"/>
      <c r="L322" s="49"/>
      <c r="M322" s="49"/>
      <c r="N322" s="50"/>
      <c r="O322" s="43"/>
      <c r="P322" s="43"/>
      <c r="Q322" s="44"/>
      <c r="R322" s="35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43"/>
      <c r="B323" s="40"/>
      <c r="C323" s="44"/>
      <c r="D323" s="45"/>
      <c r="E323" s="44"/>
      <c r="F323" s="43"/>
      <c r="G323" s="43"/>
      <c r="H323" s="43"/>
      <c r="I323" s="46"/>
      <c r="J323" s="47"/>
      <c r="K323" s="48"/>
      <c r="L323" s="49"/>
      <c r="M323" s="49"/>
      <c r="N323" s="50"/>
      <c r="O323" s="43"/>
      <c r="P323" s="43"/>
      <c r="Q323" s="44"/>
      <c r="R323" s="35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43"/>
      <c r="B324" s="40"/>
      <c r="C324" s="44"/>
      <c r="D324" s="45"/>
      <c r="E324" s="44"/>
      <c r="F324" s="43"/>
      <c r="G324" s="43"/>
      <c r="H324" s="43"/>
      <c r="I324" s="46"/>
      <c r="J324" s="47"/>
      <c r="K324" s="48"/>
      <c r="L324" s="49"/>
      <c r="M324" s="49"/>
      <c r="N324" s="50"/>
      <c r="O324" s="43"/>
      <c r="P324" s="43"/>
      <c r="Q324" s="44"/>
      <c r="R324" s="35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43"/>
      <c r="B325" s="40"/>
      <c r="C325" s="44"/>
      <c r="D325" s="45"/>
      <c r="E325" s="44"/>
      <c r="F325" s="43"/>
      <c r="G325" s="43"/>
      <c r="H325" s="43"/>
      <c r="I325" s="46"/>
      <c r="J325" s="47"/>
      <c r="K325" s="48"/>
      <c r="L325" s="49"/>
      <c r="M325" s="49"/>
      <c r="N325" s="50"/>
      <c r="O325" s="43"/>
      <c r="P325" s="43"/>
      <c r="Q325" s="44"/>
      <c r="R325" s="35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43"/>
      <c r="B326" s="40"/>
      <c r="C326" s="44"/>
      <c r="D326" s="45"/>
      <c r="E326" s="44"/>
      <c r="F326" s="43"/>
      <c r="G326" s="43"/>
      <c r="H326" s="43"/>
      <c r="I326" s="46"/>
      <c r="J326" s="47"/>
      <c r="K326" s="48"/>
      <c r="L326" s="49"/>
      <c r="M326" s="49"/>
      <c r="N326" s="50"/>
      <c r="O326" s="43"/>
      <c r="P326" s="43"/>
      <c r="Q326" s="44"/>
      <c r="R326" s="35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43"/>
      <c r="B327" s="40"/>
      <c r="C327" s="44"/>
      <c r="D327" s="45"/>
      <c r="E327" s="44"/>
      <c r="F327" s="43"/>
      <c r="G327" s="43"/>
      <c r="H327" s="43"/>
      <c r="I327" s="46"/>
      <c r="J327" s="47"/>
      <c r="K327" s="48"/>
      <c r="L327" s="49"/>
      <c r="M327" s="49"/>
      <c r="N327" s="50"/>
      <c r="O327" s="43"/>
      <c r="P327" s="43"/>
      <c r="Q327" s="44"/>
      <c r="R327" s="35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43"/>
      <c r="B328" s="40"/>
      <c r="C328" s="44"/>
      <c r="D328" s="45"/>
      <c r="E328" s="44"/>
      <c r="F328" s="43"/>
      <c r="G328" s="43"/>
      <c r="H328" s="43"/>
      <c r="I328" s="46"/>
      <c r="J328" s="47"/>
      <c r="K328" s="48"/>
      <c r="L328" s="49"/>
      <c r="M328" s="49"/>
      <c r="N328" s="50"/>
      <c r="O328" s="43"/>
      <c r="P328" s="43"/>
      <c r="Q328" s="44"/>
      <c r="R328" s="35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43"/>
      <c r="B329" s="40"/>
      <c r="C329" s="44"/>
      <c r="D329" s="45"/>
      <c r="E329" s="44"/>
      <c r="F329" s="43"/>
      <c r="G329" s="43"/>
      <c r="H329" s="43"/>
      <c r="I329" s="46"/>
      <c r="J329" s="47"/>
      <c r="K329" s="48"/>
      <c r="L329" s="49"/>
      <c r="M329" s="49"/>
      <c r="N329" s="50"/>
      <c r="O329" s="43"/>
      <c r="P329" s="43"/>
      <c r="Q329" s="44"/>
      <c r="R329" s="35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43"/>
      <c r="B330" s="40"/>
      <c r="C330" s="44"/>
      <c r="D330" s="45"/>
      <c r="E330" s="44"/>
      <c r="F330" s="43"/>
      <c r="G330" s="43"/>
      <c r="H330" s="43"/>
      <c r="I330" s="46"/>
      <c r="J330" s="47"/>
      <c r="K330" s="48"/>
      <c r="L330" s="49"/>
      <c r="M330" s="49"/>
      <c r="N330" s="50"/>
      <c r="O330" s="43"/>
      <c r="P330" s="43"/>
      <c r="Q330" s="44"/>
      <c r="R330" s="35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43"/>
      <c r="B331" s="40"/>
      <c r="C331" s="44"/>
      <c r="D331" s="45"/>
      <c r="E331" s="44"/>
      <c r="F331" s="43"/>
      <c r="G331" s="43"/>
      <c r="H331" s="43"/>
      <c r="I331" s="46"/>
      <c r="J331" s="47"/>
      <c r="K331" s="48"/>
      <c r="L331" s="49"/>
      <c r="M331" s="49"/>
      <c r="N331" s="50"/>
      <c r="O331" s="43"/>
      <c r="P331" s="43"/>
      <c r="Q331" s="44"/>
      <c r="R331" s="35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43"/>
      <c r="B332" s="40"/>
      <c r="C332" s="44"/>
      <c r="D332" s="45"/>
      <c r="E332" s="44"/>
      <c r="F332" s="43"/>
      <c r="G332" s="43"/>
      <c r="H332" s="43"/>
      <c r="I332" s="46"/>
      <c r="J332" s="47"/>
      <c r="K332" s="48"/>
      <c r="L332" s="49"/>
      <c r="M332" s="49"/>
      <c r="N332" s="50"/>
      <c r="O332" s="43"/>
      <c r="P332" s="43"/>
      <c r="Q332" s="44"/>
      <c r="R332" s="35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43"/>
      <c r="B333" s="40"/>
      <c r="C333" s="44"/>
      <c r="D333" s="45"/>
      <c r="E333" s="44"/>
      <c r="F333" s="43"/>
      <c r="G333" s="43"/>
      <c r="H333" s="43"/>
      <c r="I333" s="46"/>
      <c r="J333" s="47"/>
      <c r="K333" s="48"/>
      <c r="L333" s="49"/>
      <c r="M333" s="49"/>
      <c r="N333" s="50"/>
      <c r="O333" s="43"/>
      <c r="P333" s="43"/>
      <c r="Q333" s="44"/>
      <c r="R333" s="35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43"/>
      <c r="B334" s="40"/>
      <c r="C334" s="44"/>
      <c r="D334" s="45"/>
      <c r="E334" s="44"/>
      <c r="F334" s="43"/>
      <c r="G334" s="43"/>
      <c r="H334" s="43"/>
      <c r="I334" s="46"/>
      <c r="J334" s="47"/>
      <c r="K334" s="48"/>
      <c r="L334" s="49"/>
      <c r="M334" s="49"/>
      <c r="N334" s="50"/>
      <c r="O334" s="43"/>
      <c r="P334" s="43"/>
      <c r="Q334" s="44"/>
      <c r="R334" s="35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43"/>
      <c r="B335" s="40"/>
      <c r="C335" s="44"/>
      <c r="D335" s="45"/>
      <c r="E335" s="44"/>
      <c r="F335" s="43"/>
      <c r="G335" s="43"/>
      <c r="H335" s="43"/>
      <c r="I335" s="46"/>
      <c r="J335" s="47"/>
      <c r="K335" s="48"/>
      <c r="L335" s="49"/>
      <c r="M335" s="49"/>
      <c r="N335" s="50"/>
      <c r="O335" s="43"/>
      <c r="P335" s="43"/>
      <c r="Q335" s="44"/>
      <c r="R335" s="35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43"/>
      <c r="B336" s="40"/>
      <c r="C336" s="44"/>
      <c r="D336" s="45"/>
      <c r="E336" s="44"/>
      <c r="F336" s="43"/>
      <c r="G336" s="43"/>
      <c r="H336" s="43"/>
      <c r="I336" s="46"/>
      <c r="J336" s="47"/>
      <c r="K336" s="48"/>
      <c r="L336" s="49"/>
      <c r="M336" s="49"/>
      <c r="N336" s="50"/>
      <c r="O336" s="43"/>
      <c r="P336" s="43"/>
      <c r="Q336" s="44"/>
      <c r="R336" s="35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43"/>
      <c r="B337" s="40"/>
      <c r="C337" s="44"/>
      <c r="D337" s="45"/>
      <c r="E337" s="44"/>
      <c r="F337" s="43"/>
      <c r="G337" s="43"/>
      <c r="H337" s="43"/>
      <c r="I337" s="46"/>
      <c r="J337" s="47"/>
      <c r="K337" s="48"/>
      <c r="L337" s="49"/>
      <c r="M337" s="49"/>
      <c r="N337" s="50"/>
      <c r="O337" s="43"/>
      <c r="P337" s="43"/>
      <c r="Q337" s="44"/>
      <c r="R337" s="35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43"/>
      <c r="B338" s="40"/>
      <c r="C338" s="44"/>
      <c r="D338" s="45"/>
      <c r="E338" s="44"/>
      <c r="F338" s="43"/>
      <c r="G338" s="43"/>
      <c r="H338" s="43"/>
      <c r="I338" s="46"/>
      <c r="J338" s="47"/>
      <c r="K338" s="48"/>
      <c r="L338" s="49"/>
      <c r="M338" s="49"/>
      <c r="N338" s="50"/>
      <c r="O338" s="43"/>
      <c r="P338" s="43"/>
      <c r="Q338" s="44"/>
      <c r="R338" s="35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43"/>
      <c r="B339" s="40"/>
      <c r="C339" s="44"/>
      <c r="D339" s="45"/>
      <c r="E339" s="44"/>
      <c r="F339" s="43"/>
      <c r="G339" s="43"/>
      <c r="H339" s="43"/>
      <c r="I339" s="46"/>
      <c r="J339" s="47"/>
      <c r="K339" s="48"/>
      <c r="L339" s="49"/>
      <c r="M339" s="49"/>
      <c r="N339" s="50"/>
      <c r="O339" s="43"/>
      <c r="P339" s="43"/>
      <c r="Q339" s="44"/>
      <c r="R339" s="35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43"/>
      <c r="B340" s="40"/>
      <c r="C340" s="44"/>
      <c r="D340" s="45"/>
      <c r="E340" s="44"/>
      <c r="F340" s="43"/>
      <c r="G340" s="43"/>
      <c r="H340" s="43"/>
      <c r="I340" s="46"/>
      <c r="J340" s="47"/>
      <c r="K340" s="48"/>
      <c r="L340" s="49"/>
      <c r="M340" s="49"/>
      <c r="N340" s="50"/>
      <c r="O340" s="43"/>
      <c r="P340" s="43"/>
      <c r="Q340" s="44"/>
      <c r="R340" s="35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43"/>
      <c r="B341" s="40"/>
      <c r="C341" s="44"/>
      <c r="D341" s="45"/>
      <c r="E341" s="44"/>
      <c r="F341" s="43"/>
      <c r="G341" s="43"/>
      <c r="H341" s="43"/>
      <c r="I341" s="46"/>
      <c r="J341" s="47"/>
      <c r="K341" s="48"/>
      <c r="L341" s="49"/>
      <c r="M341" s="49"/>
      <c r="N341" s="50"/>
      <c r="O341" s="43"/>
      <c r="P341" s="43"/>
      <c r="Q341" s="44"/>
      <c r="R341" s="35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43"/>
      <c r="B342" s="40"/>
      <c r="C342" s="44"/>
      <c r="D342" s="45"/>
      <c r="E342" s="44"/>
      <c r="F342" s="43"/>
      <c r="G342" s="43"/>
      <c r="H342" s="43"/>
      <c r="I342" s="46"/>
      <c r="J342" s="47"/>
      <c r="K342" s="48"/>
      <c r="L342" s="49"/>
      <c r="M342" s="49"/>
      <c r="N342" s="50"/>
      <c r="O342" s="43"/>
      <c r="P342" s="43"/>
      <c r="Q342" s="44"/>
      <c r="R342" s="35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43"/>
      <c r="B343" s="40"/>
      <c r="C343" s="44"/>
      <c r="D343" s="45"/>
      <c r="E343" s="44"/>
      <c r="F343" s="43"/>
      <c r="G343" s="43"/>
      <c r="H343" s="43"/>
      <c r="I343" s="46"/>
      <c r="J343" s="47"/>
      <c r="K343" s="48"/>
      <c r="L343" s="49"/>
      <c r="M343" s="49"/>
      <c r="N343" s="50"/>
      <c r="O343" s="43"/>
      <c r="P343" s="43"/>
      <c r="Q343" s="44"/>
      <c r="R343" s="35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43"/>
      <c r="B344" s="40"/>
      <c r="C344" s="44"/>
      <c r="D344" s="45"/>
      <c r="E344" s="44"/>
      <c r="F344" s="43"/>
      <c r="G344" s="43"/>
      <c r="H344" s="43"/>
      <c r="I344" s="46"/>
      <c r="J344" s="47"/>
      <c r="K344" s="48"/>
      <c r="L344" s="49"/>
      <c r="M344" s="49"/>
      <c r="N344" s="50"/>
      <c r="O344" s="43"/>
      <c r="P344" s="43"/>
      <c r="Q344" s="44"/>
      <c r="R344" s="35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43"/>
      <c r="B345" s="40"/>
      <c r="C345" s="44"/>
      <c r="D345" s="45"/>
      <c r="E345" s="44"/>
      <c r="F345" s="43"/>
      <c r="G345" s="43"/>
      <c r="H345" s="43"/>
      <c r="I345" s="46"/>
      <c r="J345" s="47"/>
      <c r="K345" s="48"/>
      <c r="L345" s="49"/>
      <c r="M345" s="49"/>
      <c r="N345" s="50"/>
      <c r="O345" s="43"/>
      <c r="P345" s="43"/>
      <c r="Q345" s="44"/>
      <c r="R345" s="35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43"/>
      <c r="B346" s="40"/>
      <c r="C346" s="44"/>
      <c r="D346" s="45"/>
      <c r="E346" s="44"/>
      <c r="F346" s="43"/>
      <c r="G346" s="43"/>
      <c r="H346" s="43"/>
      <c r="I346" s="46"/>
      <c r="J346" s="47"/>
      <c r="K346" s="48"/>
      <c r="L346" s="49"/>
      <c r="M346" s="49"/>
      <c r="N346" s="50"/>
      <c r="O346" s="43"/>
      <c r="P346" s="43"/>
      <c r="Q346" s="44"/>
      <c r="R346" s="35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43"/>
      <c r="B347" s="40"/>
      <c r="C347" s="44"/>
      <c r="D347" s="45"/>
      <c r="E347" s="44"/>
      <c r="F347" s="43"/>
      <c r="G347" s="43"/>
      <c r="H347" s="43"/>
      <c r="I347" s="46"/>
      <c r="J347" s="47"/>
      <c r="K347" s="48"/>
      <c r="L347" s="49"/>
      <c r="M347" s="49"/>
      <c r="N347" s="50"/>
      <c r="O347" s="43"/>
      <c r="P347" s="43"/>
      <c r="Q347" s="44"/>
      <c r="R347" s="35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43"/>
      <c r="B348" s="40"/>
      <c r="C348" s="44"/>
      <c r="D348" s="45"/>
      <c r="E348" s="44"/>
      <c r="F348" s="43"/>
      <c r="G348" s="43"/>
      <c r="H348" s="43"/>
      <c r="I348" s="46"/>
      <c r="J348" s="47"/>
      <c r="K348" s="48"/>
      <c r="L348" s="49"/>
      <c r="M348" s="49"/>
      <c r="N348" s="50"/>
      <c r="O348" s="43"/>
      <c r="P348" s="43"/>
      <c r="Q348" s="44"/>
      <c r="R348" s="35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43"/>
      <c r="B349" s="40"/>
      <c r="C349" s="44"/>
      <c r="D349" s="45"/>
      <c r="E349" s="44"/>
      <c r="F349" s="43"/>
      <c r="G349" s="43"/>
      <c r="H349" s="43"/>
      <c r="I349" s="46"/>
      <c r="J349" s="47"/>
      <c r="K349" s="48"/>
      <c r="L349" s="49"/>
      <c r="M349" s="49"/>
      <c r="N349" s="50"/>
      <c r="O349" s="43"/>
      <c r="P349" s="43"/>
      <c r="Q349" s="44"/>
      <c r="R349" s="35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43"/>
      <c r="B350" s="40"/>
      <c r="C350" s="44"/>
      <c r="D350" s="45"/>
      <c r="E350" s="44"/>
      <c r="F350" s="43"/>
      <c r="G350" s="43"/>
      <c r="H350" s="43"/>
      <c r="I350" s="46"/>
      <c r="J350" s="47"/>
      <c r="K350" s="48"/>
      <c r="L350" s="49"/>
      <c r="M350" s="49"/>
      <c r="N350" s="50"/>
      <c r="O350" s="43"/>
      <c r="P350" s="43"/>
      <c r="Q350" s="44"/>
      <c r="R350" s="35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43"/>
      <c r="B351" s="40"/>
      <c r="C351" s="44"/>
      <c r="D351" s="45"/>
      <c r="E351" s="44"/>
      <c r="F351" s="43"/>
      <c r="G351" s="43"/>
      <c r="H351" s="43"/>
      <c r="I351" s="46"/>
      <c r="J351" s="47"/>
      <c r="K351" s="48"/>
      <c r="L351" s="49"/>
      <c r="M351" s="49"/>
      <c r="N351" s="50"/>
      <c r="O351" s="43"/>
      <c r="P351" s="43"/>
      <c r="Q351" s="44"/>
      <c r="R351" s="35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43"/>
      <c r="B352" s="40"/>
      <c r="C352" s="44"/>
      <c r="D352" s="45"/>
      <c r="E352" s="44"/>
      <c r="F352" s="43"/>
      <c r="G352" s="43"/>
      <c r="H352" s="43"/>
      <c r="I352" s="46"/>
      <c r="J352" s="47"/>
      <c r="K352" s="48"/>
      <c r="L352" s="49"/>
      <c r="M352" s="49"/>
      <c r="N352" s="50"/>
      <c r="O352" s="43"/>
      <c r="P352" s="43"/>
      <c r="Q352" s="44"/>
      <c r="R352" s="35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43"/>
      <c r="B353" s="40"/>
      <c r="C353" s="44"/>
      <c r="D353" s="45"/>
      <c r="E353" s="44"/>
      <c r="F353" s="43"/>
      <c r="G353" s="43"/>
      <c r="H353" s="43"/>
      <c r="I353" s="46"/>
      <c r="J353" s="47"/>
      <c r="K353" s="48"/>
      <c r="L353" s="49"/>
      <c r="M353" s="49"/>
      <c r="N353" s="50"/>
      <c r="O353" s="43"/>
      <c r="P353" s="43"/>
      <c r="Q353" s="44"/>
      <c r="R353" s="35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43"/>
      <c r="B354" s="40"/>
      <c r="C354" s="44"/>
      <c r="D354" s="45"/>
      <c r="E354" s="44"/>
      <c r="F354" s="43"/>
      <c r="G354" s="43"/>
      <c r="H354" s="43"/>
      <c r="I354" s="46"/>
      <c r="J354" s="47"/>
      <c r="K354" s="48"/>
      <c r="L354" s="49"/>
      <c r="M354" s="49"/>
      <c r="N354" s="50"/>
      <c r="O354" s="43"/>
      <c r="P354" s="43"/>
      <c r="Q354" s="44"/>
      <c r="R354" s="35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43"/>
      <c r="B355" s="40"/>
      <c r="C355" s="44"/>
      <c r="D355" s="45"/>
      <c r="E355" s="44"/>
      <c r="F355" s="43"/>
      <c r="G355" s="43"/>
      <c r="H355" s="43"/>
      <c r="I355" s="46"/>
      <c r="J355" s="47"/>
      <c r="K355" s="48"/>
      <c r="L355" s="49"/>
      <c r="M355" s="49"/>
      <c r="N355" s="50"/>
      <c r="O355" s="43"/>
      <c r="P355" s="43"/>
      <c r="Q355" s="44"/>
      <c r="R355" s="35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43"/>
      <c r="B356" s="40"/>
      <c r="C356" s="44"/>
      <c r="D356" s="45"/>
      <c r="E356" s="44"/>
      <c r="F356" s="43"/>
      <c r="G356" s="43"/>
      <c r="H356" s="43"/>
      <c r="I356" s="46"/>
      <c r="J356" s="47"/>
      <c r="K356" s="48"/>
      <c r="L356" s="49"/>
      <c r="M356" s="49"/>
      <c r="N356" s="50"/>
      <c r="O356" s="43"/>
      <c r="P356" s="43"/>
      <c r="Q356" s="44"/>
      <c r="R356" s="35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43"/>
      <c r="B357" s="40"/>
      <c r="C357" s="44"/>
      <c r="D357" s="45"/>
      <c r="E357" s="44"/>
      <c r="F357" s="43"/>
      <c r="G357" s="43"/>
      <c r="H357" s="43"/>
      <c r="I357" s="46"/>
      <c r="J357" s="47"/>
      <c r="K357" s="48"/>
      <c r="L357" s="49"/>
      <c r="M357" s="49"/>
      <c r="N357" s="50"/>
      <c r="O357" s="43"/>
      <c r="P357" s="43"/>
      <c r="Q357" s="44"/>
      <c r="R357" s="35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43"/>
      <c r="B358" s="40"/>
      <c r="C358" s="44"/>
      <c r="D358" s="45"/>
      <c r="E358" s="44"/>
      <c r="F358" s="43"/>
      <c r="G358" s="43"/>
      <c r="H358" s="43"/>
      <c r="I358" s="46"/>
      <c r="J358" s="47"/>
      <c r="K358" s="48"/>
      <c r="L358" s="49"/>
      <c r="M358" s="49"/>
      <c r="N358" s="50"/>
      <c r="O358" s="43"/>
      <c r="P358" s="43"/>
      <c r="Q358" s="44"/>
      <c r="R358" s="35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43"/>
      <c r="B359" s="40"/>
      <c r="C359" s="44"/>
      <c r="D359" s="45"/>
      <c r="E359" s="44"/>
      <c r="F359" s="43"/>
      <c r="G359" s="43"/>
      <c r="H359" s="43"/>
      <c r="I359" s="46"/>
      <c r="J359" s="47"/>
      <c r="K359" s="48"/>
      <c r="L359" s="49"/>
      <c r="M359" s="49"/>
      <c r="N359" s="50"/>
      <c r="O359" s="43"/>
      <c r="P359" s="43"/>
      <c r="Q359" s="44"/>
      <c r="R359" s="35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43"/>
      <c r="B360" s="40"/>
      <c r="C360" s="44"/>
      <c r="D360" s="45"/>
      <c r="E360" s="44"/>
      <c r="F360" s="43"/>
      <c r="G360" s="43"/>
      <c r="H360" s="43"/>
      <c r="I360" s="46"/>
      <c r="J360" s="47"/>
      <c r="K360" s="48"/>
      <c r="L360" s="49"/>
      <c r="M360" s="49"/>
      <c r="N360" s="50"/>
      <c r="O360" s="43"/>
      <c r="P360" s="43"/>
      <c r="Q360" s="44"/>
      <c r="R360" s="35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43"/>
      <c r="B361" s="40"/>
      <c r="C361" s="44"/>
      <c r="D361" s="45"/>
      <c r="E361" s="44"/>
      <c r="F361" s="43"/>
      <c r="G361" s="43"/>
      <c r="H361" s="43"/>
      <c r="I361" s="46"/>
      <c r="J361" s="47"/>
      <c r="K361" s="48"/>
      <c r="L361" s="49"/>
      <c r="M361" s="49"/>
      <c r="N361" s="50"/>
      <c r="O361" s="43"/>
      <c r="P361" s="43"/>
      <c r="Q361" s="44"/>
      <c r="R361" s="35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43"/>
      <c r="B362" s="40"/>
      <c r="C362" s="44"/>
      <c r="D362" s="45"/>
      <c r="E362" s="44"/>
      <c r="F362" s="43"/>
      <c r="G362" s="43"/>
      <c r="H362" s="43"/>
      <c r="I362" s="46"/>
      <c r="J362" s="47"/>
      <c r="K362" s="48"/>
      <c r="L362" s="49"/>
      <c r="M362" s="49"/>
      <c r="N362" s="50"/>
      <c r="O362" s="43"/>
      <c r="P362" s="43"/>
      <c r="Q362" s="44"/>
      <c r="R362" s="35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43"/>
      <c r="B363" s="40"/>
      <c r="C363" s="44"/>
      <c r="D363" s="45"/>
      <c r="E363" s="44"/>
      <c r="F363" s="43"/>
      <c r="G363" s="43"/>
      <c r="H363" s="43"/>
      <c r="I363" s="46"/>
      <c r="J363" s="47"/>
      <c r="K363" s="48"/>
      <c r="L363" s="49"/>
      <c r="M363" s="49"/>
      <c r="N363" s="50"/>
      <c r="O363" s="43"/>
      <c r="P363" s="43"/>
      <c r="Q363" s="44"/>
      <c r="R363" s="35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43"/>
      <c r="B364" s="40"/>
      <c r="C364" s="44"/>
      <c r="D364" s="45"/>
      <c r="E364" s="44"/>
      <c r="F364" s="43"/>
      <c r="G364" s="43"/>
      <c r="H364" s="43"/>
      <c r="I364" s="46"/>
      <c r="J364" s="47"/>
      <c r="K364" s="48"/>
      <c r="L364" s="49"/>
      <c r="M364" s="49"/>
      <c r="N364" s="50"/>
      <c r="O364" s="43"/>
      <c r="P364" s="43"/>
      <c r="Q364" s="44"/>
      <c r="R364" s="35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43"/>
      <c r="B365" s="40"/>
      <c r="C365" s="44"/>
      <c r="D365" s="45"/>
      <c r="E365" s="44"/>
      <c r="F365" s="43"/>
      <c r="G365" s="43"/>
      <c r="H365" s="43"/>
      <c r="I365" s="46"/>
      <c r="J365" s="47"/>
      <c r="K365" s="48"/>
      <c r="L365" s="49"/>
      <c r="M365" s="49"/>
      <c r="N365" s="50"/>
      <c r="O365" s="43"/>
      <c r="P365" s="43"/>
      <c r="Q365" s="44"/>
      <c r="R365" s="35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43"/>
      <c r="B366" s="40"/>
      <c r="C366" s="44"/>
      <c r="D366" s="45"/>
      <c r="E366" s="44"/>
      <c r="F366" s="43"/>
      <c r="G366" s="43"/>
      <c r="H366" s="43"/>
      <c r="I366" s="46"/>
      <c r="J366" s="47"/>
      <c r="K366" s="48"/>
      <c r="L366" s="49"/>
      <c r="M366" s="49"/>
      <c r="N366" s="50"/>
      <c r="O366" s="43"/>
      <c r="P366" s="43"/>
      <c r="Q366" s="44"/>
      <c r="R366" s="35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43"/>
      <c r="B367" s="40"/>
      <c r="C367" s="44"/>
      <c r="D367" s="45"/>
      <c r="E367" s="44"/>
      <c r="F367" s="43"/>
      <c r="G367" s="43"/>
      <c r="H367" s="43"/>
      <c r="I367" s="46"/>
      <c r="J367" s="47"/>
      <c r="K367" s="48"/>
      <c r="L367" s="49"/>
      <c r="M367" s="49"/>
      <c r="N367" s="50"/>
      <c r="O367" s="43"/>
      <c r="P367" s="43"/>
      <c r="Q367" s="44"/>
      <c r="R367" s="35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43"/>
      <c r="B368" s="40"/>
      <c r="C368" s="44"/>
      <c r="D368" s="45"/>
      <c r="E368" s="44"/>
      <c r="F368" s="43"/>
      <c r="G368" s="43"/>
      <c r="H368" s="43"/>
      <c r="I368" s="46"/>
      <c r="J368" s="47"/>
      <c r="K368" s="48"/>
      <c r="L368" s="49"/>
      <c r="M368" s="49"/>
      <c r="N368" s="50"/>
      <c r="O368" s="43"/>
      <c r="P368" s="43"/>
      <c r="Q368" s="44"/>
      <c r="R368" s="35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43"/>
      <c r="B369" s="40"/>
      <c r="C369" s="44"/>
      <c r="D369" s="45"/>
      <c r="E369" s="44"/>
      <c r="F369" s="43"/>
      <c r="G369" s="43"/>
      <c r="H369" s="43"/>
      <c r="I369" s="46"/>
      <c r="J369" s="47"/>
      <c r="K369" s="48"/>
      <c r="L369" s="49"/>
      <c r="M369" s="49"/>
      <c r="N369" s="50"/>
      <c r="O369" s="43"/>
      <c r="P369" s="43"/>
      <c r="Q369" s="44"/>
      <c r="R369" s="35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43"/>
      <c r="B370" s="40"/>
      <c r="C370" s="44"/>
      <c r="D370" s="45"/>
      <c r="E370" s="44"/>
      <c r="F370" s="43"/>
      <c r="G370" s="43"/>
      <c r="H370" s="43"/>
      <c r="I370" s="46"/>
      <c r="J370" s="47"/>
      <c r="K370" s="48"/>
      <c r="L370" s="49"/>
      <c r="M370" s="49"/>
      <c r="N370" s="50"/>
      <c r="O370" s="43"/>
      <c r="P370" s="43"/>
      <c r="Q370" s="44"/>
      <c r="R370" s="35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43"/>
      <c r="B371" s="40"/>
      <c r="C371" s="44"/>
      <c r="D371" s="45"/>
      <c r="E371" s="44"/>
      <c r="F371" s="43"/>
      <c r="G371" s="43"/>
      <c r="H371" s="43"/>
      <c r="I371" s="46"/>
      <c r="J371" s="47"/>
      <c r="K371" s="48"/>
      <c r="L371" s="49"/>
      <c r="M371" s="49"/>
      <c r="N371" s="50"/>
      <c r="O371" s="43"/>
      <c r="P371" s="43"/>
      <c r="Q371" s="44"/>
      <c r="R371" s="35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43"/>
      <c r="B372" s="40"/>
      <c r="C372" s="44"/>
      <c r="D372" s="45"/>
      <c r="E372" s="44"/>
      <c r="F372" s="43"/>
      <c r="G372" s="43"/>
      <c r="H372" s="43"/>
      <c r="I372" s="46"/>
      <c r="J372" s="47"/>
      <c r="K372" s="48"/>
      <c r="L372" s="49"/>
      <c r="M372" s="49"/>
      <c r="N372" s="50"/>
      <c r="O372" s="43"/>
      <c r="P372" s="43"/>
      <c r="Q372" s="44"/>
      <c r="R372" s="35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43"/>
      <c r="B373" s="40"/>
      <c r="C373" s="44"/>
      <c r="D373" s="45"/>
      <c r="E373" s="44"/>
      <c r="F373" s="43"/>
      <c r="G373" s="43"/>
      <c r="H373" s="43"/>
      <c r="I373" s="46"/>
      <c r="J373" s="47"/>
      <c r="K373" s="48"/>
      <c r="L373" s="49"/>
      <c r="M373" s="49"/>
      <c r="N373" s="50"/>
      <c r="O373" s="43"/>
      <c r="P373" s="43"/>
      <c r="Q373" s="44"/>
      <c r="R373" s="35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43"/>
      <c r="B374" s="40"/>
      <c r="C374" s="44"/>
      <c r="D374" s="45"/>
      <c r="E374" s="44"/>
      <c r="F374" s="43"/>
      <c r="G374" s="43"/>
      <c r="H374" s="43"/>
      <c r="I374" s="46"/>
      <c r="J374" s="47"/>
      <c r="K374" s="48"/>
      <c r="L374" s="49"/>
      <c r="M374" s="49"/>
      <c r="N374" s="50"/>
      <c r="O374" s="43"/>
      <c r="P374" s="43"/>
      <c r="Q374" s="44"/>
      <c r="R374" s="35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43"/>
      <c r="B375" s="40"/>
      <c r="C375" s="44"/>
      <c r="D375" s="45"/>
      <c r="E375" s="44"/>
      <c r="F375" s="43"/>
      <c r="G375" s="43"/>
      <c r="H375" s="43"/>
      <c r="I375" s="46"/>
      <c r="J375" s="47"/>
      <c r="K375" s="48"/>
      <c r="L375" s="49"/>
      <c r="M375" s="49"/>
      <c r="N375" s="50"/>
      <c r="O375" s="43"/>
      <c r="P375" s="43"/>
      <c r="Q375" s="44"/>
      <c r="R375" s="35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43"/>
      <c r="B376" s="40"/>
      <c r="C376" s="44"/>
      <c r="D376" s="45"/>
      <c r="E376" s="44"/>
      <c r="F376" s="43"/>
      <c r="G376" s="43"/>
      <c r="H376" s="43"/>
      <c r="I376" s="46"/>
      <c r="J376" s="47"/>
      <c r="K376" s="48"/>
      <c r="L376" s="49"/>
      <c r="M376" s="49"/>
      <c r="N376" s="50"/>
      <c r="O376" s="43"/>
      <c r="P376" s="43"/>
      <c r="Q376" s="44"/>
      <c r="R376" s="35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43"/>
      <c r="B377" s="40"/>
      <c r="C377" s="44"/>
      <c r="D377" s="45"/>
      <c r="E377" s="44"/>
      <c r="F377" s="43"/>
      <c r="G377" s="43"/>
      <c r="H377" s="43"/>
      <c r="I377" s="46"/>
      <c r="J377" s="47"/>
      <c r="K377" s="48"/>
      <c r="L377" s="49"/>
      <c r="M377" s="49"/>
      <c r="N377" s="50"/>
      <c r="O377" s="43"/>
      <c r="P377" s="43"/>
      <c r="Q377" s="44"/>
      <c r="R377" s="35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43"/>
      <c r="B378" s="40"/>
      <c r="C378" s="44"/>
      <c r="D378" s="45"/>
      <c r="E378" s="44"/>
      <c r="F378" s="43"/>
      <c r="G378" s="43"/>
      <c r="H378" s="43"/>
      <c r="I378" s="46"/>
      <c r="J378" s="47"/>
      <c r="K378" s="48"/>
      <c r="L378" s="49"/>
      <c r="M378" s="49"/>
      <c r="N378" s="50"/>
      <c r="O378" s="43"/>
      <c r="P378" s="43"/>
      <c r="Q378" s="44"/>
      <c r="R378" s="35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43"/>
      <c r="B379" s="40"/>
      <c r="C379" s="44"/>
      <c r="D379" s="45"/>
      <c r="E379" s="44"/>
      <c r="F379" s="43"/>
      <c r="G379" s="43"/>
      <c r="H379" s="43"/>
      <c r="I379" s="46"/>
      <c r="J379" s="47"/>
      <c r="K379" s="48"/>
      <c r="L379" s="49"/>
      <c r="M379" s="49"/>
      <c r="N379" s="50"/>
      <c r="O379" s="43"/>
      <c r="P379" s="43"/>
      <c r="Q379" s="44"/>
      <c r="R379" s="35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43"/>
      <c r="B380" s="40"/>
      <c r="C380" s="44"/>
      <c r="D380" s="45"/>
      <c r="E380" s="44"/>
      <c r="F380" s="43"/>
      <c r="G380" s="43"/>
      <c r="H380" s="43"/>
      <c r="I380" s="46"/>
      <c r="J380" s="47"/>
      <c r="K380" s="48"/>
      <c r="L380" s="49"/>
      <c r="M380" s="49"/>
      <c r="N380" s="50"/>
      <c r="O380" s="43"/>
      <c r="P380" s="43"/>
      <c r="Q380" s="44"/>
      <c r="R380" s="35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43"/>
      <c r="B381" s="40"/>
      <c r="C381" s="44"/>
      <c r="D381" s="45"/>
      <c r="E381" s="44"/>
      <c r="F381" s="43"/>
      <c r="G381" s="43"/>
      <c r="H381" s="43"/>
      <c r="I381" s="46"/>
      <c r="J381" s="47"/>
      <c r="K381" s="48"/>
      <c r="L381" s="49"/>
      <c r="M381" s="49"/>
      <c r="N381" s="50"/>
      <c r="O381" s="43"/>
      <c r="P381" s="43"/>
      <c r="Q381" s="44"/>
      <c r="R381" s="35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43"/>
      <c r="B382" s="40"/>
      <c r="C382" s="44"/>
      <c r="D382" s="45"/>
      <c r="E382" s="44"/>
      <c r="F382" s="43"/>
      <c r="G382" s="43"/>
      <c r="H382" s="43"/>
      <c r="I382" s="46"/>
      <c r="J382" s="47"/>
      <c r="K382" s="48"/>
      <c r="L382" s="49"/>
      <c r="M382" s="49"/>
      <c r="N382" s="50"/>
      <c r="O382" s="43"/>
      <c r="P382" s="43"/>
      <c r="Q382" s="44"/>
      <c r="R382" s="35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43"/>
      <c r="B383" s="40"/>
      <c r="C383" s="44"/>
      <c r="D383" s="45"/>
      <c r="E383" s="44"/>
      <c r="F383" s="43"/>
      <c r="G383" s="43"/>
      <c r="H383" s="43"/>
      <c r="I383" s="46"/>
      <c r="J383" s="47"/>
      <c r="K383" s="48"/>
      <c r="L383" s="49"/>
      <c r="M383" s="49"/>
      <c r="N383" s="50"/>
      <c r="O383" s="43"/>
      <c r="P383" s="43"/>
      <c r="Q383" s="44"/>
      <c r="R383" s="35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43"/>
      <c r="B384" s="40"/>
      <c r="C384" s="44"/>
      <c r="D384" s="45"/>
      <c r="E384" s="44"/>
      <c r="F384" s="43"/>
      <c r="G384" s="43"/>
      <c r="H384" s="43"/>
      <c r="I384" s="46"/>
      <c r="J384" s="47"/>
      <c r="K384" s="48"/>
      <c r="L384" s="49"/>
      <c r="M384" s="49"/>
      <c r="N384" s="50"/>
      <c r="O384" s="43"/>
      <c r="P384" s="43"/>
      <c r="Q384" s="44"/>
      <c r="R384" s="35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43"/>
      <c r="B385" s="40"/>
      <c r="C385" s="44"/>
      <c r="D385" s="45"/>
      <c r="E385" s="44"/>
      <c r="F385" s="43"/>
      <c r="G385" s="43"/>
      <c r="H385" s="43"/>
      <c r="I385" s="46"/>
      <c r="J385" s="47"/>
      <c r="K385" s="48"/>
      <c r="L385" s="49"/>
      <c r="M385" s="49"/>
      <c r="N385" s="50"/>
      <c r="O385" s="43"/>
      <c r="P385" s="43"/>
      <c r="Q385" s="44"/>
      <c r="R385" s="35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43"/>
      <c r="B386" s="40"/>
      <c r="C386" s="44"/>
      <c r="D386" s="45"/>
      <c r="E386" s="44"/>
      <c r="F386" s="43"/>
      <c r="G386" s="43"/>
      <c r="H386" s="43"/>
      <c r="I386" s="46"/>
      <c r="J386" s="47"/>
      <c r="K386" s="48"/>
      <c r="L386" s="49"/>
      <c r="M386" s="49"/>
      <c r="N386" s="50"/>
      <c r="O386" s="43"/>
      <c r="P386" s="43"/>
      <c r="Q386" s="44"/>
      <c r="R386" s="35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43"/>
      <c r="B387" s="40"/>
      <c r="C387" s="44"/>
      <c r="D387" s="45"/>
      <c r="E387" s="44"/>
      <c r="F387" s="43"/>
      <c r="G387" s="43"/>
      <c r="H387" s="43"/>
      <c r="I387" s="46"/>
      <c r="J387" s="47"/>
      <c r="K387" s="48"/>
      <c r="L387" s="49"/>
      <c r="M387" s="49"/>
      <c r="N387" s="50"/>
      <c r="O387" s="43"/>
      <c r="P387" s="43"/>
      <c r="Q387" s="44"/>
      <c r="R387" s="35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43"/>
      <c r="B388" s="40"/>
      <c r="C388" s="44"/>
      <c r="D388" s="45"/>
      <c r="E388" s="44"/>
      <c r="F388" s="43"/>
      <c r="G388" s="43"/>
      <c r="H388" s="43"/>
      <c r="I388" s="46"/>
      <c r="J388" s="47"/>
      <c r="K388" s="48"/>
      <c r="L388" s="49"/>
      <c r="M388" s="49"/>
      <c r="N388" s="50"/>
      <c r="O388" s="43"/>
      <c r="P388" s="43"/>
      <c r="Q388" s="44"/>
      <c r="R388" s="35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43"/>
      <c r="B389" s="40"/>
      <c r="C389" s="44"/>
      <c r="D389" s="45"/>
      <c r="E389" s="44"/>
      <c r="F389" s="43"/>
      <c r="G389" s="43"/>
      <c r="H389" s="43"/>
      <c r="I389" s="46"/>
      <c r="J389" s="47"/>
      <c r="K389" s="48"/>
      <c r="L389" s="49"/>
      <c r="M389" s="49"/>
      <c r="N389" s="50"/>
      <c r="O389" s="43"/>
      <c r="P389" s="43"/>
      <c r="Q389" s="44"/>
      <c r="R389" s="35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43"/>
      <c r="B390" s="40"/>
      <c r="C390" s="44"/>
      <c r="D390" s="45"/>
      <c r="E390" s="44"/>
      <c r="F390" s="43"/>
      <c r="G390" s="43"/>
      <c r="H390" s="43"/>
      <c r="I390" s="46"/>
      <c r="J390" s="47"/>
      <c r="K390" s="48"/>
      <c r="L390" s="49"/>
      <c r="M390" s="49"/>
      <c r="N390" s="50"/>
      <c r="O390" s="43"/>
      <c r="P390" s="43"/>
      <c r="Q390" s="44"/>
      <c r="R390" s="35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43"/>
      <c r="B391" s="40"/>
      <c r="C391" s="44"/>
      <c r="D391" s="45"/>
      <c r="E391" s="44"/>
      <c r="F391" s="43"/>
      <c r="G391" s="43"/>
      <c r="H391" s="43"/>
      <c r="I391" s="46"/>
      <c r="J391" s="47"/>
      <c r="K391" s="48"/>
      <c r="L391" s="49"/>
      <c r="M391" s="49"/>
      <c r="N391" s="50"/>
      <c r="O391" s="43"/>
      <c r="P391" s="43"/>
      <c r="Q391" s="44"/>
      <c r="R391" s="35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43"/>
      <c r="B392" s="40"/>
      <c r="C392" s="44"/>
      <c r="D392" s="45"/>
      <c r="E392" s="44"/>
      <c r="F392" s="43"/>
      <c r="G392" s="43"/>
      <c r="H392" s="43"/>
      <c r="I392" s="46"/>
      <c r="J392" s="47"/>
      <c r="K392" s="48"/>
      <c r="L392" s="49"/>
      <c r="M392" s="49"/>
      <c r="N392" s="50"/>
      <c r="O392" s="43"/>
      <c r="P392" s="43"/>
      <c r="Q392" s="44"/>
      <c r="R392" s="35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43"/>
      <c r="B393" s="40"/>
      <c r="C393" s="44"/>
      <c r="D393" s="45"/>
      <c r="E393" s="44"/>
      <c r="F393" s="43"/>
      <c r="G393" s="43"/>
      <c r="H393" s="43"/>
      <c r="I393" s="46"/>
      <c r="J393" s="47"/>
      <c r="K393" s="48"/>
      <c r="L393" s="49"/>
      <c r="M393" s="49"/>
      <c r="N393" s="50"/>
      <c r="O393" s="43"/>
      <c r="P393" s="43"/>
      <c r="Q393" s="44"/>
      <c r="R393" s="35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43"/>
      <c r="B394" s="40"/>
      <c r="C394" s="44"/>
      <c r="D394" s="45"/>
      <c r="E394" s="44"/>
      <c r="F394" s="43"/>
      <c r="G394" s="43"/>
      <c r="H394" s="43"/>
      <c r="I394" s="46"/>
      <c r="J394" s="47"/>
      <c r="K394" s="48"/>
      <c r="L394" s="49"/>
      <c r="M394" s="49"/>
      <c r="N394" s="50"/>
      <c r="O394" s="43"/>
      <c r="P394" s="43"/>
      <c r="Q394" s="44"/>
      <c r="R394" s="35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43"/>
      <c r="B395" s="40"/>
      <c r="C395" s="44"/>
      <c r="D395" s="45"/>
      <c r="E395" s="44"/>
      <c r="F395" s="43"/>
      <c r="G395" s="43"/>
      <c r="H395" s="43"/>
      <c r="I395" s="46"/>
      <c r="J395" s="47"/>
      <c r="K395" s="48"/>
      <c r="L395" s="49"/>
      <c r="M395" s="49"/>
      <c r="N395" s="50"/>
      <c r="O395" s="43"/>
      <c r="P395" s="43"/>
      <c r="Q395" s="44"/>
      <c r="R395" s="35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43"/>
      <c r="B396" s="40"/>
      <c r="C396" s="44"/>
      <c r="D396" s="45"/>
      <c r="E396" s="44"/>
      <c r="F396" s="43"/>
      <c r="G396" s="43"/>
      <c r="H396" s="43"/>
      <c r="I396" s="46"/>
      <c r="J396" s="47"/>
      <c r="K396" s="48"/>
      <c r="L396" s="49"/>
      <c r="M396" s="49"/>
      <c r="N396" s="50"/>
      <c r="O396" s="43"/>
      <c r="P396" s="43"/>
      <c r="Q396" s="44"/>
      <c r="R396" s="35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43"/>
      <c r="B397" s="40"/>
      <c r="C397" s="44"/>
      <c r="D397" s="45"/>
      <c r="E397" s="44"/>
      <c r="F397" s="43"/>
      <c r="G397" s="43"/>
      <c r="H397" s="43"/>
      <c r="I397" s="46"/>
      <c r="J397" s="47"/>
      <c r="K397" s="48"/>
      <c r="L397" s="49"/>
      <c r="M397" s="49"/>
      <c r="N397" s="50"/>
      <c r="O397" s="43"/>
      <c r="P397" s="43"/>
      <c r="Q397" s="44"/>
      <c r="R397" s="35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43"/>
      <c r="B398" s="40"/>
      <c r="C398" s="44"/>
      <c r="D398" s="45"/>
      <c r="E398" s="44"/>
      <c r="F398" s="43"/>
      <c r="G398" s="43"/>
      <c r="H398" s="43"/>
      <c r="I398" s="46"/>
      <c r="J398" s="47"/>
      <c r="K398" s="48"/>
      <c r="L398" s="49"/>
      <c r="M398" s="49"/>
      <c r="N398" s="50"/>
      <c r="O398" s="43"/>
      <c r="P398" s="43"/>
      <c r="Q398" s="44"/>
      <c r="R398" s="35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43"/>
      <c r="B399" s="40"/>
      <c r="C399" s="44"/>
      <c r="D399" s="45"/>
      <c r="E399" s="44"/>
      <c r="F399" s="43"/>
      <c r="G399" s="43"/>
      <c r="H399" s="43"/>
      <c r="I399" s="46"/>
      <c r="J399" s="47"/>
      <c r="K399" s="48"/>
      <c r="L399" s="49"/>
      <c r="M399" s="49"/>
      <c r="N399" s="50"/>
      <c r="O399" s="43"/>
      <c r="P399" s="43"/>
      <c r="Q399" s="44"/>
      <c r="R399" s="35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43"/>
      <c r="B400" s="40"/>
      <c r="C400" s="44"/>
      <c r="D400" s="45"/>
      <c r="E400" s="44"/>
      <c r="F400" s="43"/>
      <c r="G400" s="43"/>
      <c r="H400" s="43"/>
      <c r="I400" s="46"/>
      <c r="J400" s="47"/>
      <c r="K400" s="48"/>
      <c r="L400" s="49"/>
      <c r="M400" s="49"/>
      <c r="N400" s="50"/>
      <c r="O400" s="43"/>
      <c r="P400" s="43"/>
      <c r="Q400" s="44"/>
      <c r="R400" s="35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43"/>
      <c r="B401" s="40"/>
      <c r="C401" s="44"/>
      <c r="D401" s="45"/>
      <c r="E401" s="44"/>
      <c r="F401" s="43"/>
      <c r="G401" s="43"/>
      <c r="H401" s="43"/>
      <c r="I401" s="46"/>
      <c r="J401" s="47"/>
      <c r="K401" s="48"/>
      <c r="L401" s="49"/>
      <c r="M401" s="49"/>
      <c r="N401" s="50"/>
      <c r="O401" s="43"/>
      <c r="P401" s="43"/>
      <c r="Q401" s="44"/>
      <c r="R401" s="35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43"/>
      <c r="B402" s="40"/>
      <c r="C402" s="44"/>
      <c r="D402" s="45"/>
      <c r="E402" s="44"/>
      <c r="F402" s="43"/>
      <c r="G402" s="43"/>
      <c r="H402" s="43"/>
      <c r="I402" s="46"/>
      <c r="J402" s="47"/>
      <c r="K402" s="48"/>
      <c r="L402" s="49"/>
      <c r="M402" s="49"/>
      <c r="N402" s="50"/>
      <c r="O402" s="43"/>
      <c r="P402" s="43"/>
      <c r="Q402" s="44"/>
      <c r="R402" s="35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43"/>
      <c r="B403" s="40"/>
      <c r="C403" s="44"/>
      <c r="D403" s="45"/>
      <c r="E403" s="44"/>
      <c r="F403" s="43"/>
      <c r="G403" s="43"/>
      <c r="H403" s="43"/>
      <c r="I403" s="46"/>
      <c r="J403" s="47"/>
      <c r="K403" s="48"/>
      <c r="L403" s="49"/>
      <c r="M403" s="49"/>
      <c r="N403" s="50"/>
      <c r="O403" s="43"/>
      <c r="P403" s="43"/>
      <c r="Q403" s="44"/>
      <c r="R403" s="35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43"/>
      <c r="B404" s="40"/>
      <c r="C404" s="44"/>
      <c r="D404" s="45"/>
      <c r="E404" s="44"/>
      <c r="F404" s="43"/>
      <c r="G404" s="43"/>
      <c r="H404" s="43"/>
      <c r="I404" s="46"/>
      <c r="J404" s="47"/>
      <c r="K404" s="48"/>
      <c r="L404" s="49"/>
      <c r="M404" s="49"/>
      <c r="N404" s="50"/>
      <c r="O404" s="43"/>
      <c r="P404" s="43"/>
      <c r="Q404" s="44"/>
      <c r="R404" s="35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43"/>
      <c r="B405" s="40"/>
      <c r="C405" s="44"/>
      <c r="D405" s="45"/>
      <c r="E405" s="44"/>
      <c r="F405" s="43"/>
      <c r="G405" s="43"/>
      <c r="H405" s="43"/>
      <c r="I405" s="46"/>
      <c r="J405" s="47"/>
      <c r="K405" s="48"/>
      <c r="L405" s="49"/>
      <c r="M405" s="49"/>
      <c r="N405" s="50"/>
      <c r="O405" s="43"/>
      <c r="P405" s="43"/>
      <c r="Q405" s="44"/>
      <c r="R405" s="35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43"/>
      <c r="B406" s="40"/>
      <c r="C406" s="44"/>
      <c r="D406" s="45"/>
      <c r="E406" s="44"/>
      <c r="F406" s="43"/>
      <c r="G406" s="43"/>
      <c r="H406" s="43"/>
      <c r="I406" s="46"/>
      <c r="J406" s="47"/>
      <c r="K406" s="48"/>
      <c r="L406" s="49"/>
      <c r="M406" s="49"/>
      <c r="N406" s="50"/>
      <c r="O406" s="43"/>
      <c r="P406" s="43"/>
      <c r="Q406" s="44"/>
      <c r="R406" s="35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43"/>
      <c r="B407" s="40"/>
      <c r="C407" s="44"/>
      <c r="D407" s="45"/>
      <c r="E407" s="44"/>
      <c r="F407" s="43"/>
      <c r="G407" s="43"/>
      <c r="H407" s="43"/>
      <c r="I407" s="46"/>
      <c r="J407" s="47"/>
      <c r="K407" s="48"/>
      <c r="L407" s="49"/>
      <c r="M407" s="49"/>
      <c r="N407" s="50"/>
      <c r="O407" s="43"/>
      <c r="P407" s="43"/>
      <c r="Q407" s="44"/>
      <c r="R407" s="35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43"/>
      <c r="B408" s="40"/>
      <c r="C408" s="44"/>
      <c r="D408" s="45"/>
      <c r="E408" s="44"/>
      <c r="F408" s="43"/>
      <c r="G408" s="43"/>
      <c r="H408" s="43"/>
      <c r="I408" s="46"/>
      <c r="J408" s="47"/>
      <c r="K408" s="48"/>
      <c r="L408" s="49"/>
      <c r="M408" s="49"/>
      <c r="N408" s="50"/>
      <c r="O408" s="43"/>
      <c r="P408" s="43"/>
      <c r="Q408" s="44"/>
      <c r="R408" s="35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43"/>
      <c r="B409" s="40"/>
      <c r="C409" s="44"/>
      <c r="D409" s="45"/>
      <c r="E409" s="44"/>
      <c r="F409" s="43"/>
      <c r="G409" s="43"/>
      <c r="H409" s="43"/>
      <c r="I409" s="46"/>
      <c r="J409" s="47"/>
      <c r="K409" s="48"/>
      <c r="L409" s="49"/>
      <c r="M409" s="49"/>
      <c r="N409" s="50"/>
      <c r="O409" s="43"/>
      <c r="P409" s="43"/>
      <c r="Q409" s="44"/>
      <c r="R409" s="35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43"/>
      <c r="B410" s="40"/>
      <c r="C410" s="44"/>
      <c r="D410" s="45"/>
      <c r="E410" s="44"/>
      <c r="F410" s="43"/>
      <c r="G410" s="43"/>
      <c r="H410" s="43"/>
      <c r="I410" s="46"/>
      <c r="J410" s="47"/>
      <c r="K410" s="48"/>
      <c r="L410" s="49"/>
      <c r="M410" s="49"/>
      <c r="N410" s="50"/>
      <c r="O410" s="43"/>
      <c r="P410" s="43"/>
      <c r="Q410" s="44"/>
      <c r="R410" s="35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43"/>
      <c r="B411" s="40"/>
      <c r="C411" s="44"/>
      <c r="D411" s="45"/>
      <c r="E411" s="44"/>
      <c r="F411" s="43"/>
      <c r="G411" s="43"/>
      <c r="H411" s="43"/>
      <c r="I411" s="46"/>
      <c r="J411" s="47"/>
      <c r="K411" s="48"/>
      <c r="L411" s="49"/>
      <c r="M411" s="49"/>
      <c r="N411" s="50"/>
      <c r="O411" s="43"/>
      <c r="P411" s="43"/>
      <c r="Q411" s="44"/>
      <c r="R411" s="35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43"/>
      <c r="B412" s="40"/>
      <c r="C412" s="44"/>
      <c r="D412" s="45"/>
      <c r="E412" s="44"/>
      <c r="F412" s="43"/>
      <c r="G412" s="43"/>
      <c r="H412" s="43"/>
      <c r="I412" s="46"/>
      <c r="J412" s="47"/>
      <c r="K412" s="48"/>
      <c r="L412" s="49"/>
      <c r="M412" s="49"/>
      <c r="N412" s="50"/>
      <c r="O412" s="43"/>
      <c r="P412" s="43"/>
      <c r="Q412" s="44"/>
      <c r="R412" s="35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43"/>
      <c r="B413" s="40"/>
      <c r="C413" s="44"/>
      <c r="D413" s="45"/>
      <c r="E413" s="44"/>
      <c r="F413" s="43"/>
      <c r="G413" s="43"/>
      <c r="H413" s="43"/>
      <c r="I413" s="46"/>
      <c r="J413" s="47"/>
      <c r="K413" s="48"/>
      <c r="L413" s="49"/>
      <c r="M413" s="49"/>
      <c r="N413" s="50"/>
      <c r="O413" s="43"/>
      <c r="P413" s="43"/>
      <c r="Q413" s="44"/>
      <c r="R413" s="35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43"/>
      <c r="B414" s="40"/>
      <c r="C414" s="44"/>
      <c r="D414" s="45"/>
      <c r="E414" s="44"/>
      <c r="F414" s="43"/>
      <c r="G414" s="43"/>
      <c r="H414" s="43"/>
      <c r="I414" s="46"/>
      <c r="J414" s="47"/>
      <c r="K414" s="48"/>
      <c r="L414" s="49"/>
      <c r="M414" s="49"/>
      <c r="N414" s="50"/>
      <c r="O414" s="43"/>
      <c r="P414" s="43"/>
      <c r="Q414" s="44"/>
      <c r="R414" s="35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43"/>
      <c r="B415" s="40"/>
      <c r="C415" s="44"/>
      <c r="D415" s="45"/>
      <c r="E415" s="44"/>
      <c r="F415" s="43"/>
      <c r="G415" s="43"/>
      <c r="H415" s="43"/>
      <c r="I415" s="46"/>
      <c r="J415" s="47"/>
      <c r="K415" s="48"/>
      <c r="L415" s="49"/>
      <c r="M415" s="49"/>
      <c r="N415" s="50"/>
      <c r="O415" s="43"/>
      <c r="P415" s="43"/>
      <c r="Q415" s="44"/>
      <c r="R415" s="35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43"/>
      <c r="B416" s="40"/>
      <c r="C416" s="44"/>
      <c r="D416" s="45"/>
      <c r="E416" s="44"/>
      <c r="F416" s="43"/>
      <c r="G416" s="43"/>
      <c r="H416" s="43"/>
      <c r="I416" s="46"/>
      <c r="J416" s="47"/>
      <c r="K416" s="48"/>
      <c r="L416" s="49"/>
      <c r="M416" s="49"/>
      <c r="N416" s="50"/>
      <c r="O416" s="43"/>
      <c r="P416" s="43"/>
      <c r="Q416" s="44"/>
      <c r="R416" s="35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43"/>
      <c r="B417" s="40"/>
      <c r="C417" s="44"/>
      <c r="D417" s="45"/>
      <c r="E417" s="44"/>
      <c r="F417" s="43"/>
      <c r="G417" s="43"/>
      <c r="H417" s="43"/>
      <c r="I417" s="46"/>
      <c r="J417" s="47"/>
      <c r="K417" s="48"/>
      <c r="L417" s="49"/>
      <c r="M417" s="49"/>
      <c r="N417" s="50"/>
      <c r="O417" s="43"/>
      <c r="P417" s="43"/>
      <c r="Q417" s="44"/>
      <c r="R417" s="35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43"/>
      <c r="B418" s="40"/>
      <c r="C418" s="44"/>
      <c r="D418" s="45"/>
      <c r="E418" s="44"/>
      <c r="F418" s="43"/>
      <c r="G418" s="43"/>
      <c r="H418" s="43"/>
      <c r="I418" s="46"/>
      <c r="J418" s="47"/>
      <c r="K418" s="48"/>
      <c r="L418" s="49"/>
      <c r="M418" s="49"/>
      <c r="N418" s="50"/>
      <c r="O418" s="43"/>
      <c r="P418" s="43"/>
      <c r="Q418" s="44"/>
      <c r="R418" s="35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43"/>
      <c r="B419" s="40"/>
      <c r="C419" s="44"/>
      <c r="D419" s="45"/>
      <c r="E419" s="44"/>
      <c r="F419" s="43"/>
      <c r="G419" s="43"/>
      <c r="H419" s="43"/>
      <c r="I419" s="46"/>
      <c r="J419" s="47"/>
      <c r="K419" s="48"/>
      <c r="L419" s="49"/>
      <c r="M419" s="49"/>
      <c r="N419" s="50"/>
      <c r="O419" s="43"/>
      <c r="P419" s="43"/>
      <c r="Q419" s="44"/>
      <c r="R419" s="35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43"/>
      <c r="B420" s="40"/>
      <c r="C420" s="44"/>
      <c r="D420" s="45"/>
      <c r="E420" s="44"/>
      <c r="F420" s="43"/>
      <c r="G420" s="43"/>
      <c r="H420" s="43"/>
      <c r="I420" s="46"/>
      <c r="J420" s="47"/>
      <c r="K420" s="48"/>
      <c r="L420" s="49"/>
      <c r="M420" s="49"/>
      <c r="N420" s="50"/>
      <c r="O420" s="43"/>
      <c r="P420" s="43"/>
      <c r="Q420" s="44"/>
      <c r="R420" s="35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43"/>
      <c r="B421" s="40"/>
      <c r="C421" s="44"/>
      <c r="D421" s="45"/>
      <c r="E421" s="44"/>
      <c r="F421" s="43"/>
      <c r="G421" s="43"/>
      <c r="H421" s="43"/>
      <c r="I421" s="46"/>
      <c r="J421" s="47"/>
      <c r="K421" s="48"/>
      <c r="L421" s="49"/>
      <c r="M421" s="49"/>
      <c r="N421" s="50"/>
      <c r="O421" s="43"/>
      <c r="P421" s="43"/>
      <c r="Q421" s="44"/>
      <c r="R421" s="35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43"/>
      <c r="B422" s="40"/>
      <c r="C422" s="44"/>
      <c r="D422" s="45"/>
      <c r="E422" s="44"/>
      <c r="F422" s="43"/>
      <c r="G422" s="43"/>
      <c r="H422" s="43"/>
      <c r="I422" s="46"/>
      <c r="J422" s="47"/>
      <c r="K422" s="48"/>
      <c r="L422" s="49"/>
      <c r="M422" s="49"/>
      <c r="N422" s="50"/>
      <c r="O422" s="43"/>
      <c r="P422" s="43"/>
      <c r="Q422" s="44"/>
      <c r="R422" s="35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43"/>
      <c r="B423" s="40"/>
      <c r="C423" s="44"/>
      <c r="D423" s="45"/>
      <c r="E423" s="44"/>
      <c r="F423" s="43"/>
      <c r="G423" s="43"/>
      <c r="H423" s="43"/>
      <c r="I423" s="46"/>
      <c r="J423" s="47"/>
      <c r="K423" s="48"/>
      <c r="L423" s="49"/>
      <c r="M423" s="49"/>
      <c r="N423" s="50"/>
      <c r="O423" s="43"/>
      <c r="P423" s="43"/>
      <c r="Q423" s="44"/>
      <c r="R423" s="35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43"/>
      <c r="B424" s="40"/>
      <c r="C424" s="44"/>
      <c r="D424" s="45"/>
      <c r="E424" s="44"/>
      <c r="F424" s="43"/>
      <c r="G424" s="43"/>
      <c r="H424" s="43"/>
      <c r="I424" s="46"/>
      <c r="J424" s="47"/>
      <c r="K424" s="48"/>
      <c r="L424" s="49"/>
      <c r="M424" s="49"/>
      <c r="N424" s="50"/>
      <c r="O424" s="43"/>
      <c r="P424" s="43"/>
      <c r="Q424" s="44"/>
      <c r="R424" s="35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43"/>
      <c r="B425" s="40"/>
      <c r="C425" s="44"/>
      <c r="D425" s="45"/>
      <c r="E425" s="44"/>
      <c r="F425" s="43"/>
      <c r="G425" s="43"/>
      <c r="H425" s="43"/>
      <c r="I425" s="46"/>
      <c r="J425" s="47"/>
      <c r="K425" s="48"/>
      <c r="L425" s="49"/>
      <c r="M425" s="49"/>
      <c r="N425" s="50"/>
      <c r="O425" s="43"/>
      <c r="P425" s="43"/>
      <c r="Q425" s="44"/>
      <c r="R425" s="35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43"/>
      <c r="B426" s="40"/>
      <c r="C426" s="44"/>
      <c r="D426" s="45"/>
      <c r="E426" s="44"/>
      <c r="F426" s="43"/>
      <c r="G426" s="43"/>
      <c r="H426" s="43"/>
      <c r="I426" s="46"/>
      <c r="J426" s="47"/>
      <c r="K426" s="48"/>
      <c r="L426" s="49"/>
      <c r="M426" s="49"/>
      <c r="N426" s="50"/>
      <c r="O426" s="43"/>
      <c r="P426" s="43"/>
      <c r="Q426" s="44"/>
      <c r="R426" s="35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43"/>
      <c r="B427" s="40"/>
      <c r="C427" s="44"/>
      <c r="D427" s="45"/>
      <c r="E427" s="44"/>
      <c r="F427" s="43"/>
      <c r="G427" s="43"/>
      <c r="H427" s="43"/>
      <c r="I427" s="46"/>
      <c r="J427" s="47"/>
      <c r="K427" s="48"/>
      <c r="L427" s="49"/>
      <c r="M427" s="49"/>
      <c r="N427" s="50"/>
      <c r="O427" s="43"/>
      <c r="P427" s="43"/>
      <c r="Q427" s="44"/>
      <c r="R427" s="35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43"/>
      <c r="B428" s="40"/>
      <c r="C428" s="44"/>
      <c r="D428" s="45"/>
      <c r="E428" s="44"/>
      <c r="F428" s="43"/>
      <c r="G428" s="43"/>
      <c r="H428" s="43"/>
      <c r="I428" s="46"/>
      <c r="J428" s="47"/>
      <c r="K428" s="48"/>
      <c r="L428" s="49"/>
      <c r="M428" s="49"/>
      <c r="N428" s="50"/>
      <c r="O428" s="43"/>
      <c r="P428" s="43"/>
      <c r="Q428" s="44"/>
      <c r="R428" s="35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43"/>
      <c r="B429" s="40"/>
      <c r="C429" s="44"/>
      <c r="D429" s="45"/>
      <c r="E429" s="44"/>
      <c r="F429" s="43"/>
      <c r="G429" s="43"/>
      <c r="H429" s="43"/>
      <c r="I429" s="46"/>
      <c r="J429" s="47"/>
      <c r="K429" s="48"/>
      <c r="L429" s="49"/>
      <c r="M429" s="49"/>
      <c r="N429" s="50"/>
      <c r="O429" s="43"/>
      <c r="P429" s="43"/>
      <c r="Q429" s="44"/>
      <c r="R429" s="35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43"/>
      <c r="B430" s="40"/>
      <c r="C430" s="44"/>
      <c r="D430" s="45"/>
      <c r="E430" s="44"/>
      <c r="F430" s="43"/>
      <c r="G430" s="43"/>
      <c r="H430" s="43"/>
      <c r="I430" s="46"/>
      <c r="J430" s="47"/>
      <c r="K430" s="48"/>
      <c r="L430" s="49"/>
      <c r="M430" s="49"/>
      <c r="N430" s="50"/>
      <c r="O430" s="43"/>
      <c r="P430" s="43"/>
      <c r="Q430" s="44"/>
      <c r="R430" s="35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43"/>
      <c r="B431" s="40"/>
      <c r="C431" s="44"/>
      <c r="D431" s="45"/>
      <c r="E431" s="44"/>
      <c r="F431" s="43"/>
      <c r="G431" s="43"/>
      <c r="H431" s="43"/>
      <c r="I431" s="46"/>
      <c r="J431" s="47"/>
      <c r="K431" s="48"/>
      <c r="L431" s="49"/>
      <c r="M431" s="49"/>
      <c r="N431" s="50"/>
      <c r="O431" s="43"/>
      <c r="P431" s="43"/>
      <c r="Q431" s="44"/>
      <c r="R431" s="35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43"/>
      <c r="B432" s="40"/>
      <c r="C432" s="44"/>
      <c r="D432" s="45"/>
      <c r="E432" s="44"/>
      <c r="F432" s="43"/>
      <c r="G432" s="43"/>
      <c r="H432" s="43"/>
      <c r="I432" s="46"/>
      <c r="J432" s="47"/>
      <c r="K432" s="48"/>
      <c r="L432" s="49"/>
      <c r="M432" s="49"/>
      <c r="N432" s="50"/>
      <c r="O432" s="43"/>
      <c r="P432" s="43"/>
      <c r="Q432" s="44"/>
      <c r="R432" s="35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43"/>
      <c r="B433" s="40"/>
      <c r="C433" s="44"/>
      <c r="D433" s="45"/>
      <c r="E433" s="44"/>
      <c r="F433" s="43"/>
      <c r="G433" s="43"/>
      <c r="H433" s="43"/>
      <c r="I433" s="46"/>
      <c r="J433" s="47"/>
      <c r="K433" s="48"/>
      <c r="L433" s="49"/>
      <c r="M433" s="49"/>
      <c r="N433" s="50"/>
      <c r="O433" s="43"/>
      <c r="P433" s="43"/>
      <c r="Q433" s="44"/>
      <c r="R433" s="35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43"/>
      <c r="B434" s="40"/>
      <c r="C434" s="44"/>
      <c r="D434" s="45"/>
      <c r="E434" s="44"/>
      <c r="F434" s="43"/>
      <c r="G434" s="43"/>
      <c r="H434" s="43"/>
      <c r="I434" s="46"/>
      <c r="J434" s="47"/>
      <c r="K434" s="48"/>
      <c r="L434" s="49"/>
      <c r="M434" s="49"/>
      <c r="N434" s="50"/>
      <c r="O434" s="43"/>
      <c r="P434" s="43"/>
      <c r="Q434" s="44"/>
      <c r="R434" s="35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43"/>
      <c r="B435" s="40"/>
      <c r="C435" s="44"/>
      <c r="D435" s="45"/>
      <c r="E435" s="44"/>
      <c r="F435" s="43"/>
      <c r="G435" s="43"/>
      <c r="H435" s="43"/>
      <c r="I435" s="46"/>
      <c r="J435" s="47"/>
      <c r="K435" s="48"/>
      <c r="L435" s="49"/>
      <c r="M435" s="49"/>
      <c r="N435" s="50"/>
      <c r="O435" s="43"/>
      <c r="P435" s="43"/>
      <c r="Q435" s="44"/>
      <c r="R435" s="35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43"/>
      <c r="B436" s="40"/>
      <c r="C436" s="44"/>
      <c r="D436" s="45"/>
      <c r="E436" s="44"/>
      <c r="F436" s="43"/>
      <c r="G436" s="43"/>
      <c r="H436" s="43"/>
      <c r="I436" s="46"/>
      <c r="J436" s="47"/>
      <c r="K436" s="48"/>
      <c r="L436" s="49"/>
      <c r="M436" s="49"/>
      <c r="N436" s="50"/>
      <c r="O436" s="43"/>
      <c r="P436" s="43"/>
      <c r="Q436" s="44"/>
      <c r="R436" s="35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43"/>
      <c r="B437" s="40"/>
      <c r="C437" s="44"/>
      <c r="D437" s="45"/>
      <c r="E437" s="44"/>
      <c r="F437" s="43"/>
      <c r="G437" s="43"/>
      <c r="H437" s="43"/>
      <c r="I437" s="46"/>
      <c r="J437" s="47"/>
      <c r="K437" s="48"/>
      <c r="L437" s="49"/>
      <c r="M437" s="49"/>
      <c r="N437" s="50"/>
      <c r="O437" s="43"/>
      <c r="P437" s="43"/>
      <c r="Q437" s="44"/>
      <c r="R437" s="35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43"/>
      <c r="B438" s="40"/>
      <c r="C438" s="44"/>
      <c r="D438" s="45"/>
      <c r="E438" s="44"/>
      <c r="F438" s="43"/>
      <c r="G438" s="43"/>
      <c r="H438" s="43"/>
      <c r="I438" s="46"/>
      <c r="J438" s="47"/>
      <c r="K438" s="48"/>
      <c r="L438" s="49"/>
      <c r="M438" s="49"/>
      <c r="N438" s="50"/>
      <c r="O438" s="43"/>
      <c r="P438" s="43"/>
      <c r="Q438" s="44"/>
      <c r="R438" s="35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43"/>
      <c r="B439" s="40"/>
      <c r="C439" s="44"/>
      <c r="D439" s="45"/>
      <c r="E439" s="44"/>
      <c r="F439" s="43"/>
      <c r="G439" s="43"/>
      <c r="H439" s="43"/>
      <c r="I439" s="46"/>
      <c r="J439" s="47"/>
      <c r="K439" s="48"/>
      <c r="L439" s="49"/>
      <c r="M439" s="49"/>
      <c r="N439" s="50"/>
      <c r="O439" s="43"/>
      <c r="P439" s="43"/>
      <c r="Q439" s="44"/>
      <c r="R439" s="35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43"/>
      <c r="B440" s="40"/>
      <c r="C440" s="44"/>
      <c r="D440" s="45"/>
      <c r="E440" s="44"/>
      <c r="F440" s="43"/>
      <c r="G440" s="43"/>
      <c r="H440" s="43"/>
      <c r="I440" s="46"/>
      <c r="J440" s="47"/>
      <c r="K440" s="48"/>
      <c r="L440" s="49"/>
      <c r="M440" s="49"/>
      <c r="N440" s="50"/>
      <c r="O440" s="43"/>
      <c r="P440" s="43"/>
      <c r="Q440" s="44"/>
      <c r="R440" s="35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43"/>
      <c r="B441" s="40"/>
      <c r="C441" s="44"/>
      <c r="D441" s="45"/>
      <c r="E441" s="44"/>
      <c r="F441" s="43"/>
      <c r="G441" s="43"/>
      <c r="H441" s="43"/>
      <c r="I441" s="46"/>
      <c r="J441" s="47"/>
      <c r="K441" s="48"/>
      <c r="L441" s="49"/>
      <c r="M441" s="49"/>
      <c r="N441" s="50"/>
      <c r="O441" s="43"/>
      <c r="P441" s="43"/>
      <c r="Q441" s="44"/>
      <c r="R441" s="35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43"/>
      <c r="B442" s="40"/>
      <c r="C442" s="44"/>
      <c r="D442" s="45"/>
      <c r="E442" s="44"/>
      <c r="F442" s="43"/>
      <c r="G442" s="43"/>
      <c r="H442" s="43"/>
      <c r="I442" s="46"/>
      <c r="J442" s="47"/>
      <c r="K442" s="48"/>
      <c r="L442" s="49"/>
      <c r="M442" s="49"/>
      <c r="N442" s="50"/>
      <c r="O442" s="43"/>
      <c r="P442" s="43"/>
      <c r="Q442" s="44"/>
      <c r="R442" s="35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43"/>
      <c r="B443" s="40"/>
      <c r="C443" s="44"/>
      <c r="D443" s="45"/>
      <c r="E443" s="44"/>
      <c r="F443" s="43"/>
      <c r="G443" s="43"/>
      <c r="H443" s="43"/>
      <c r="I443" s="46"/>
      <c r="J443" s="47"/>
      <c r="K443" s="48"/>
      <c r="L443" s="49"/>
      <c r="M443" s="49"/>
      <c r="N443" s="50"/>
      <c r="O443" s="43"/>
      <c r="P443" s="43"/>
      <c r="Q443" s="44"/>
      <c r="R443" s="35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43"/>
      <c r="B444" s="40"/>
      <c r="C444" s="44"/>
      <c r="D444" s="45"/>
      <c r="E444" s="44"/>
      <c r="F444" s="43"/>
      <c r="G444" s="43"/>
      <c r="H444" s="43"/>
      <c r="I444" s="46"/>
      <c r="J444" s="47"/>
      <c r="K444" s="48"/>
      <c r="L444" s="49"/>
      <c r="M444" s="49"/>
      <c r="N444" s="50"/>
      <c r="O444" s="43"/>
      <c r="P444" s="43"/>
      <c r="Q444" s="44"/>
      <c r="R444" s="35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43"/>
      <c r="B445" s="40"/>
      <c r="C445" s="44"/>
      <c r="D445" s="45"/>
      <c r="E445" s="44"/>
      <c r="F445" s="43"/>
      <c r="G445" s="43"/>
      <c r="H445" s="43"/>
      <c r="I445" s="46"/>
      <c r="J445" s="47"/>
      <c r="K445" s="48"/>
      <c r="L445" s="49"/>
      <c r="M445" s="49"/>
      <c r="N445" s="50"/>
      <c r="O445" s="43"/>
      <c r="P445" s="43"/>
      <c r="Q445" s="44"/>
      <c r="R445" s="35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43"/>
      <c r="B446" s="40"/>
      <c r="C446" s="44"/>
      <c r="D446" s="45"/>
      <c r="E446" s="44"/>
      <c r="F446" s="43"/>
      <c r="G446" s="43"/>
      <c r="H446" s="43"/>
      <c r="I446" s="46"/>
      <c r="J446" s="47"/>
      <c r="K446" s="48"/>
      <c r="L446" s="49"/>
      <c r="M446" s="49"/>
      <c r="N446" s="50"/>
      <c r="O446" s="43"/>
      <c r="P446" s="43"/>
      <c r="Q446" s="44"/>
      <c r="R446" s="35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43"/>
      <c r="B447" s="40"/>
      <c r="C447" s="44"/>
      <c r="D447" s="45"/>
      <c r="E447" s="44"/>
      <c r="F447" s="43"/>
      <c r="G447" s="43"/>
      <c r="H447" s="43"/>
      <c r="I447" s="46"/>
      <c r="J447" s="47"/>
      <c r="K447" s="48"/>
      <c r="L447" s="49"/>
      <c r="M447" s="49"/>
      <c r="N447" s="50"/>
      <c r="O447" s="43"/>
      <c r="P447" s="43"/>
      <c r="Q447" s="44"/>
      <c r="R447" s="35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43"/>
      <c r="B448" s="40"/>
      <c r="C448" s="44"/>
      <c r="D448" s="45"/>
      <c r="E448" s="44"/>
      <c r="F448" s="43"/>
      <c r="G448" s="43"/>
      <c r="H448" s="43"/>
      <c r="I448" s="46"/>
      <c r="J448" s="47"/>
      <c r="K448" s="48"/>
      <c r="L448" s="49"/>
      <c r="M448" s="49"/>
      <c r="N448" s="50"/>
      <c r="O448" s="43"/>
      <c r="P448" s="43"/>
      <c r="Q448" s="44"/>
      <c r="R448" s="35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43"/>
      <c r="B449" s="40"/>
      <c r="C449" s="44"/>
      <c r="D449" s="45"/>
      <c r="E449" s="44"/>
      <c r="F449" s="43"/>
      <c r="G449" s="43"/>
      <c r="H449" s="43"/>
      <c r="I449" s="46"/>
      <c r="J449" s="47"/>
      <c r="K449" s="48"/>
      <c r="L449" s="49"/>
      <c r="M449" s="49"/>
      <c r="N449" s="50"/>
      <c r="O449" s="43"/>
      <c r="P449" s="43"/>
      <c r="Q449" s="44"/>
      <c r="R449" s="35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43"/>
      <c r="B450" s="40"/>
      <c r="C450" s="44"/>
      <c r="D450" s="45"/>
      <c r="E450" s="44"/>
      <c r="F450" s="43"/>
      <c r="G450" s="43"/>
      <c r="H450" s="43"/>
      <c r="I450" s="46"/>
      <c r="J450" s="47"/>
      <c r="K450" s="48"/>
      <c r="L450" s="49"/>
      <c r="M450" s="49"/>
      <c r="N450" s="50"/>
      <c r="O450" s="43"/>
      <c r="P450" s="43"/>
      <c r="Q450" s="44"/>
      <c r="R450" s="35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43"/>
      <c r="B451" s="40"/>
      <c r="C451" s="44"/>
      <c r="D451" s="45"/>
      <c r="E451" s="44"/>
      <c r="F451" s="43"/>
      <c r="G451" s="43"/>
      <c r="H451" s="43"/>
      <c r="I451" s="46"/>
      <c r="J451" s="47"/>
      <c r="K451" s="48"/>
      <c r="L451" s="49"/>
      <c r="M451" s="49"/>
      <c r="N451" s="50"/>
      <c r="O451" s="43"/>
      <c r="P451" s="43"/>
      <c r="Q451" s="44"/>
      <c r="R451" s="35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43"/>
      <c r="B452" s="40"/>
      <c r="C452" s="44"/>
      <c r="D452" s="45"/>
      <c r="E452" s="44"/>
      <c r="F452" s="43"/>
      <c r="G452" s="43"/>
      <c r="H452" s="43"/>
      <c r="I452" s="46"/>
      <c r="J452" s="47"/>
      <c r="K452" s="48"/>
      <c r="L452" s="49"/>
      <c r="M452" s="49"/>
      <c r="N452" s="50"/>
      <c r="O452" s="43"/>
      <c r="P452" s="43"/>
      <c r="Q452" s="44"/>
      <c r="R452" s="35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43"/>
      <c r="B453" s="40"/>
      <c r="C453" s="44"/>
      <c r="D453" s="45"/>
      <c r="E453" s="44"/>
      <c r="F453" s="43"/>
      <c r="G453" s="43"/>
      <c r="H453" s="43"/>
      <c r="I453" s="46"/>
      <c r="J453" s="47"/>
      <c r="K453" s="48"/>
      <c r="L453" s="49"/>
      <c r="M453" s="49"/>
      <c r="N453" s="50"/>
      <c r="O453" s="43"/>
      <c r="P453" s="43"/>
      <c r="Q453" s="44"/>
      <c r="R453" s="35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43"/>
      <c r="B454" s="40"/>
      <c r="C454" s="44"/>
      <c r="D454" s="45"/>
      <c r="E454" s="44"/>
      <c r="F454" s="43"/>
      <c r="G454" s="43"/>
      <c r="H454" s="43"/>
      <c r="I454" s="46"/>
      <c r="J454" s="47"/>
      <c r="K454" s="48"/>
      <c r="L454" s="49"/>
      <c r="M454" s="49"/>
      <c r="N454" s="50"/>
      <c r="O454" s="43"/>
      <c r="P454" s="43"/>
      <c r="Q454" s="44"/>
      <c r="R454" s="35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43"/>
      <c r="B455" s="40"/>
      <c r="C455" s="44"/>
      <c r="D455" s="45"/>
      <c r="E455" s="44"/>
      <c r="F455" s="43"/>
      <c r="G455" s="43"/>
      <c r="H455" s="43"/>
      <c r="I455" s="46"/>
      <c r="J455" s="47"/>
      <c r="K455" s="48"/>
      <c r="L455" s="49"/>
      <c r="M455" s="49"/>
      <c r="N455" s="50"/>
      <c r="O455" s="43"/>
      <c r="P455" s="43"/>
      <c r="Q455" s="44"/>
      <c r="R455" s="35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43"/>
      <c r="B456" s="40"/>
      <c r="C456" s="44"/>
      <c r="D456" s="45"/>
      <c r="E456" s="44"/>
      <c r="F456" s="43"/>
      <c r="G456" s="43"/>
      <c r="H456" s="43"/>
      <c r="I456" s="46"/>
      <c r="J456" s="47"/>
      <c r="K456" s="48"/>
      <c r="L456" s="49"/>
      <c r="M456" s="49"/>
      <c r="N456" s="50"/>
      <c r="O456" s="43"/>
      <c r="P456" s="43"/>
      <c r="Q456" s="44"/>
      <c r="R456" s="35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43"/>
      <c r="B457" s="40"/>
      <c r="C457" s="44"/>
      <c r="D457" s="45"/>
      <c r="E457" s="44"/>
      <c r="F457" s="43"/>
      <c r="G457" s="43"/>
      <c r="H457" s="43"/>
      <c r="I457" s="46"/>
      <c r="J457" s="47"/>
      <c r="K457" s="48"/>
      <c r="L457" s="49"/>
      <c r="M457" s="49"/>
      <c r="N457" s="50"/>
      <c r="O457" s="43"/>
      <c r="P457" s="43"/>
      <c r="Q457" s="44"/>
      <c r="R457" s="35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43"/>
      <c r="B458" s="40"/>
      <c r="C458" s="44"/>
      <c r="D458" s="45"/>
      <c r="E458" s="44"/>
      <c r="F458" s="43"/>
      <c r="G458" s="43"/>
      <c r="H458" s="43"/>
      <c r="I458" s="46"/>
      <c r="J458" s="47"/>
      <c r="K458" s="48"/>
      <c r="L458" s="49"/>
      <c r="M458" s="49"/>
      <c r="N458" s="50"/>
      <c r="O458" s="43"/>
      <c r="P458" s="43"/>
      <c r="Q458" s="44"/>
      <c r="R458" s="35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43"/>
      <c r="B459" s="40"/>
      <c r="C459" s="44"/>
      <c r="D459" s="45"/>
      <c r="E459" s="44"/>
      <c r="F459" s="43"/>
      <c r="G459" s="43"/>
      <c r="H459" s="43"/>
      <c r="I459" s="46"/>
      <c r="J459" s="47"/>
      <c r="K459" s="48"/>
      <c r="L459" s="49"/>
      <c r="M459" s="49"/>
      <c r="N459" s="50"/>
      <c r="O459" s="43"/>
      <c r="P459" s="43"/>
      <c r="Q459" s="44"/>
      <c r="R459" s="35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43"/>
      <c r="B460" s="40"/>
      <c r="C460" s="44"/>
      <c r="D460" s="45"/>
      <c r="E460" s="44"/>
      <c r="F460" s="43"/>
      <c r="G460" s="43"/>
      <c r="H460" s="43"/>
      <c r="I460" s="46"/>
      <c r="J460" s="47"/>
      <c r="K460" s="48"/>
      <c r="L460" s="49"/>
      <c r="M460" s="49"/>
      <c r="N460" s="50"/>
      <c r="O460" s="43"/>
      <c r="P460" s="43"/>
      <c r="Q460" s="44"/>
      <c r="R460" s="35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43"/>
      <c r="B461" s="40"/>
      <c r="C461" s="44"/>
      <c r="D461" s="45"/>
      <c r="E461" s="44"/>
      <c r="F461" s="43"/>
      <c r="G461" s="43"/>
      <c r="H461" s="43"/>
      <c r="I461" s="46"/>
      <c r="J461" s="47"/>
      <c r="K461" s="48"/>
      <c r="L461" s="49"/>
      <c r="M461" s="49"/>
      <c r="N461" s="50"/>
      <c r="O461" s="43"/>
      <c r="P461" s="43"/>
      <c r="Q461" s="44"/>
      <c r="R461" s="35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43"/>
      <c r="B462" s="40"/>
      <c r="C462" s="44"/>
      <c r="D462" s="45"/>
      <c r="E462" s="44"/>
      <c r="F462" s="43"/>
      <c r="G462" s="43"/>
      <c r="H462" s="43"/>
      <c r="I462" s="46"/>
      <c r="J462" s="47"/>
      <c r="K462" s="48"/>
      <c r="L462" s="49"/>
      <c r="M462" s="49"/>
      <c r="N462" s="50"/>
      <c r="O462" s="43"/>
      <c r="P462" s="43"/>
      <c r="Q462" s="44"/>
      <c r="R462" s="35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43"/>
      <c r="B463" s="40"/>
      <c r="C463" s="44"/>
      <c r="D463" s="45"/>
      <c r="E463" s="44"/>
      <c r="F463" s="43"/>
      <c r="G463" s="43"/>
      <c r="H463" s="43"/>
      <c r="I463" s="46"/>
      <c r="J463" s="47"/>
      <c r="K463" s="48"/>
      <c r="L463" s="49"/>
      <c r="M463" s="49"/>
      <c r="N463" s="50"/>
      <c r="O463" s="43"/>
      <c r="P463" s="43"/>
      <c r="Q463" s="44"/>
      <c r="R463" s="35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43"/>
      <c r="B464" s="40"/>
      <c r="C464" s="44"/>
      <c r="D464" s="45"/>
      <c r="E464" s="44"/>
      <c r="F464" s="43"/>
      <c r="G464" s="43"/>
      <c r="H464" s="43"/>
      <c r="I464" s="46"/>
      <c r="J464" s="47"/>
      <c r="K464" s="48"/>
      <c r="L464" s="49"/>
      <c r="M464" s="49"/>
      <c r="N464" s="50"/>
      <c r="O464" s="43"/>
      <c r="P464" s="43"/>
      <c r="Q464" s="44"/>
      <c r="R464" s="35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43"/>
      <c r="B465" s="40"/>
      <c r="C465" s="44"/>
      <c r="D465" s="45"/>
      <c r="E465" s="44"/>
      <c r="F465" s="43"/>
      <c r="G465" s="43"/>
      <c r="H465" s="43"/>
      <c r="I465" s="46"/>
      <c r="J465" s="47"/>
      <c r="K465" s="48"/>
      <c r="L465" s="49"/>
      <c r="M465" s="49"/>
      <c r="N465" s="50"/>
      <c r="O465" s="43"/>
      <c r="P465" s="43"/>
      <c r="Q465" s="44"/>
      <c r="R465" s="35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43"/>
      <c r="B466" s="40"/>
      <c r="C466" s="44"/>
      <c r="D466" s="45"/>
      <c r="E466" s="44"/>
      <c r="F466" s="43"/>
      <c r="G466" s="43"/>
      <c r="H466" s="43"/>
      <c r="I466" s="46"/>
      <c r="J466" s="47"/>
      <c r="K466" s="48"/>
      <c r="L466" s="49"/>
      <c r="M466" s="49"/>
      <c r="N466" s="50"/>
      <c r="O466" s="43"/>
      <c r="P466" s="43"/>
      <c r="Q466" s="44"/>
      <c r="R466" s="35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43"/>
      <c r="B467" s="40"/>
      <c r="C467" s="44"/>
      <c r="D467" s="45"/>
      <c r="E467" s="44"/>
      <c r="F467" s="43"/>
      <c r="G467" s="43"/>
      <c r="H467" s="43"/>
      <c r="I467" s="46"/>
      <c r="J467" s="47"/>
      <c r="K467" s="48"/>
      <c r="L467" s="49"/>
      <c r="M467" s="49"/>
      <c r="N467" s="50"/>
      <c r="O467" s="43"/>
      <c r="P467" s="43"/>
      <c r="Q467" s="44"/>
      <c r="R467" s="35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43"/>
      <c r="B468" s="40"/>
      <c r="C468" s="44"/>
      <c r="D468" s="45"/>
      <c r="E468" s="44"/>
      <c r="F468" s="43"/>
      <c r="G468" s="43"/>
      <c r="H468" s="43"/>
      <c r="I468" s="46"/>
      <c r="J468" s="47"/>
      <c r="K468" s="48"/>
      <c r="L468" s="49"/>
      <c r="M468" s="49"/>
      <c r="N468" s="50"/>
      <c r="O468" s="43"/>
      <c r="P468" s="43"/>
      <c r="Q468" s="44"/>
      <c r="R468" s="35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43"/>
      <c r="B469" s="40"/>
      <c r="C469" s="44"/>
      <c r="D469" s="45"/>
      <c r="E469" s="44"/>
      <c r="F469" s="43"/>
      <c r="G469" s="43"/>
      <c r="H469" s="43"/>
      <c r="I469" s="46"/>
      <c r="J469" s="47"/>
      <c r="K469" s="48"/>
      <c r="L469" s="49"/>
      <c r="M469" s="49"/>
      <c r="N469" s="50"/>
      <c r="O469" s="43"/>
      <c r="P469" s="43"/>
      <c r="Q469" s="44"/>
      <c r="R469" s="35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43"/>
      <c r="B470" s="40"/>
      <c r="C470" s="44"/>
      <c r="D470" s="45"/>
      <c r="E470" s="44"/>
      <c r="F470" s="43"/>
      <c r="G470" s="43"/>
      <c r="H470" s="43"/>
      <c r="I470" s="46"/>
      <c r="J470" s="47"/>
      <c r="K470" s="48"/>
      <c r="L470" s="49"/>
      <c r="M470" s="49"/>
      <c r="N470" s="50"/>
      <c r="O470" s="43"/>
      <c r="P470" s="43"/>
      <c r="Q470" s="44"/>
      <c r="R470" s="35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43"/>
      <c r="B471" s="40"/>
      <c r="C471" s="44"/>
      <c r="D471" s="45"/>
      <c r="E471" s="44"/>
      <c r="F471" s="43"/>
      <c r="G471" s="43"/>
      <c r="H471" s="43"/>
      <c r="I471" s="46"/>
      <c r="J471" s="47"/>
      <c r="K471" s="48"/>
      <c r="L471" s="49"/>
      <c r="M471" s="49"/>
      <c r="N471" s="50"/>
      <c r="O471" s="43"/>
      <c r="P471" s="43"/>
      <c r="Q471" s="44"/>
      <c r="R471" s="35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43"/>
      <c r="B472" s="40"/>
      <c r="C472" s="44"/>
      <c r="D472" s="45"/>
      <c r="E472" s="44"/>
      <c r="F472" s="43"/>
      <c r="G472" s="43"/>
      <c r="H472" s="43"/>
      <c r="I472" s="46"/>
      <c r="J472" s="47"/>
      <c r="K472" s="48"/>
      <c r="L472" s="49"/>
      <c r="M472" s="49"/>
      <c r="N472" s="50"/>
      <c r="O472" s="43"/>
      <c r="P472" s="43"/>
      <c r="Q472" s="44"/>
      <c r="R472" s="35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43"/>
      <c r="B473" s="40"/>
      <c r="C473" s="44"/>
      <c r="D473" s="45"/>
      <c r="E473" s="44"/>
      <c r="F473" s="43"/>
      <c r="G473" s="43"/>
      <c r="H473" s="43"/>
      <c r="I473" s="46"/>
      <c r="J473" s="47"/>
      <c r="K473" s="48"/>
      <c r="L473" s="49"/>
      <c r="M473" s="49"/>
      <c r="N473" s="50"/>
      <c r="O473" s="43"/>
      <c r="P473" s="43"/>
      <c r="Q473" s="44"/>
      <c r="R473" s="35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43"/>
      <c r="B474" s="40"/>
      <c r="C474" s="44"/>
      <c r="D474" s="45"/>
      <c r="E474" s="44"/>
      <c r="F474" s="43"/>
      <c r="G474" s="43"/>
      <c r="H474" s="43"/>
      <c r="I474" s="46"/>
      <c r="J474" s="47"/>
      <c r="K474" s="48"/>
      <c r="L474" s="49"/>
      <c r="M474" s="49"/>
      <c r="N474" s="50"/>
      <c r="O474" s="43"/>
      <c r="P474" s="43"/>
      <c r="Q474" s="44"/>
      <c r="R474" s="35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43"/>
      <c r="B475" s="40"/>
      <c r="C475" s="44"/>
      <c r="D475" s="45"/>
      <c r="E475" s="44"/>
      <c r="F475" s="43"/>
      <c r="G475" s="43"/>
      <c r="H475" s="43"/>
      <c r="I475" s="46"/>
      <c r="J475" s="47"/>
      <c r="K475" s="48"/>
      <c r="L475" s="49"/>
      <c r="M475" s="49"/>
      <c r="N475" s="50"/>
      <c r="O475" s="43"/>
      <c r="P475" s="43"/>
      <c r="Q475" s="44"/>
      <c r="R475" s="35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43"/>
      <c r="B476" s="40"/>
      <c r="C476" s="44"/>
      <c r="D476" s="45"/>
      <c r="E476" s="44"/>
      <c r="F476" s="43"/>
      <c r="G476" s="43"/>
      <c r="H476" s="43"/>
      <c r="I476" s="46"/>
      <c r="J476" s="47"/>
      <c r="K476" s="48"/>
      <c r="L476" s="49"/>
      <c r="M476" s="49"/>
      <c r="N476" s="50"/>
      <c r="O476" s="43"/>
      <c r="P476" s="43"/>
      <c r="Q476" s="44"/>
      <c r="R476" s="35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43"/>
      <c r="B477" s="40"/>
      <c r="C477" s="44"/>
      <c r="D477" s="45"/>
      <c r="E477" s="44"/>
      <c r="F477" s="43"/>
      <c r="G477" s="43"/>
      <c r="H477" s="43"/>
      <c r="I477" s="46"/>
      <c r="J477" s="47"/>
      <c r="K477" s="48"/>
      <c r="L477" s="49"/>
      <c r="M477" s="49"/>
      <c r="N477" s="50"/>
      <c r="O477" s="43"/>
      <c r="P477" s="43"/>
      <c r="Q477" s="44"/>
      <c r="R477" s="35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43"/>
      <c r="B478" s="40"/>
      <c r="C478" s="44"/>
      <c r="D478" s="45"/>
      <c r="E478" s="44"/>
      <c r="F478" s="43"/>
      <c r="G478" s="43"/>
      <c r="H478" s="43"/>
      <c r="I478" s="46"/>
      <c r="J478" s="47"/>
      <c r="K478" s="48"/>
      <c r="L478" s="49"/>
      <c r="M478" s="49"/>
      <c r="N478" s="50"/>
      <c r="O478" s="43"/>
      <c r="P478" s="43"/>
      <c r="Q478" s="44"/>
      <c r="R478" s="35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43"/>
      <c r="B479" s="40"/>
      <c r="C479" s="44"/>
      <c r="D479" s="45"/>
      <c r="E479" s="44"/>
      <c r="F479" s="43"/>
      <c r="G479" s="43"/>
      <c r="H479" s="43"/>
      <c r="I479" s="46"/>
      <c r="J479" s="47"/>
      <c r="K479" s="48"/>
      <c r="L479" s="49"/>
      <c r="M479" s="49"/>
      <c r="N479" s="50"/>
      <c r="O479" s="43"/>
      <c r="P479" s="43"/>
      <c r="Q479" s="44"/>
      <c r="R479" s="35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43"/>
      <c r="B480" s="40"/>
      <c r="C480" s="44"/>
      <c r="D480" s="45"/>
      <c r="E480" s="44"/>
      <c r="F480" s="43"/>
      <c r="G480" s="43"/>
      <c r="H480" s="43"/>
      <c r="I480" s="46"/>
      <c r="J480" s="47"/>
      <c r="K480" s="48"/>
      <c r="L480" s="49"/>
      <c r="M480" s="49"/>
      <c r="N480" s="50"/>
      <c r="O480" s="43"/>
      <c r="P480" s="43"/>
      <c r="Q480" s="44"/>
      <c r="R480" s="35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43"/>
      <c r="B481" s="40"/>
      <c r="C481" s="44"/>
      <c r="D481" s="45"/>
      <c r="E481" s="44"/>
      <c r="F481" s="43"/>
      <c r="G481" s="43"/>
      <c r="H481" s="43"/>
      <c r="I481" s="46"/>
      <c r="J481" s="47"/>
      <c r="K481" s="48"/>
      <c r="L481" s="49"/>
      <c r="M481" s="49"/>
      <c r="N481" s="50"/>
      <c r="O481" s="43"/>
      <c r="P481" s="43"/>
      <c r="Q481" s="44"/>
      <c r="R481" s="35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43"/>
      <c r="B482" s="40"/>
      <c r="C482" s="44"/>
      <c r="D482" s="45"/>
      <c r="E482" s="44"/>
      <c r="F482" s="43"/>
      <c r="G482" s="43"/>
      <c r="H482" s="43"/>
      <c r="I482" s="46"/>
      <c r="J482" s="47"/>
      <c r="K482" s="48"/>
      <c r="L482" s="49"/>
      <c r="M482" s="49"/>
      <c r="N482" s="50"/>
      <c r="O482" s="43"/>
      <c r="P482" s="43"/>
      <c r="Q482" s="44"/>
      <c r="R482" s="35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43"/>
      <c r="B483" s="40"/>
      <c r="C483" s="44"/>
      <c r="D483" s="45"/>
      <c r="E483" s="44"/>
      <c r="F483" s="43"/>
      <c r="G483" s="43"/>
      <c r="H483" s="43"/>
      <c r="I483" s="46"/>
      <c r="J483" s="47"/>
      <c r="K483" s="48"/>
      <c r="L483" s="49"/>
      <c r="M483" s="49"/>
      <c r="N483" s="50"/>
      <c r="O483" s="43"/>
      <c r="P483" s="43"/>
      <c r="Q483" s="44"/>
      <c r="R483" s="35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43"/>
      <c r="B484" s="40"/>
      <c r="C484" s="44"/>
      <c r="D484" s="45"/>
      <c r="E484" s="44"/>
      <c r="F484" s="43"/>
      <c r="G484" s="43"/>
      <c r="H484" s="43"/>
      <c r="I484" s="46"/>
      <c r="J484" s="47"/>
      <c r="K484" s="48"/>
      <c r="L484" s="49"/>
      <c r="M484" s="49"/>
      <c r="N484" s="50"/>
      <c r="O484" s="43"/>
      <c r="P484" s="43"/>
      <c r="Q484" s="44"/>
      <c r="R484" s="35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43"/>
      <c r="B485" s="40"/>
      <c r="C485" s="44"/>
      <c r="D485" s="45"/>
      <c r="E485" s="44"/>
      <c r="F485" s="43"/>
      <c r="G485" s="43"/>
      <c r="H485" s="43"/>
      <c r="I485" s="46"/>
      <c r="J485" s="47"/>
      <c r="K485" s="48"/>
      <c r="L485" s="49"/>
      <c r="M485" s="49"/>
      <c r="N485" s="50"/>
      <c r="O485" s="43"/>
      <c r="P485" s="43"/>
      <c r="Q485" s="44"/>
      <c r="R485" s="35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43"/>
      <c r="B486" s="40"/>
      <c r="C486" s="44"/>
      <c r="D486" s="45"/>
      <c r="E486" s="44"/>
      <c r="F486" s="43"/>
      <c r="G486" s="43"/>
      <c r="H486" s="43"/>
      <c r="I486" s="46"/>
      <c r="J486" s="47"/>
      <c r="K486" s="48"/>
      <c r="L486" s="49"/>
      <c r="M486" s="49"/>
      <c r="N486" s="50"/>
      <c r="O486" s="43"/>
      <c r="P486" s="43"/>
      <c r="Q486" s="44"/>
      <c r="R486" s="35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43"/>
      <c r="B487" s="40"/>
      <c r="C487" s="44"/>
      <c r="D487" s="45"/>
      <c r="E487" s="44"/>
      <c r="F487" s="43"/>
      <c r="G487" s="43"/>
      <c r="H487" s="43"/>
      <c r="I487" s="46"/>
      <c r="J487" s="47"/>
      <c r="K487" s="48"/>
      <c r="L487" s="49"/>
      <c r="M487" s="49"/>
      <c r="N487" s="50"/>
      <c r="O487" s="43"/>
      <c r="P487" s="43"/>
      <c r="Q487" s="44"/>
      <c r="R487" s="35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43"/>
      <c r="B488" s="40"/>
      <c r="C488" s="44"/>
      <c r="D488" s="45"/>
      <c r="E488" s="44"/>
      <c r="F488" s="43"/>
      <c r="G488" s="43"/>
      <c r="H488" s="43"/>
      <c r="I488" s="46"/>
      <c r="J488" s="47"/>
      <c r="K488" s="48"/>
      <c r="L488" s="49"/>
      <c r="M488" s="49"/>
      <c r="N488" s="50"/>
      <c r="O488" s="43"/>
      <c r="P488" s="43"/>
      <c r="Q488" s="44"/>
      <c r="R488" s="35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43"/>
      <c r="B489" s="40"/>
      <c r="C489" s="44"/>
      <c r="D489" s="45"/>
      <c r="E489" s="44"/>
      <c r="F489" s="43"/>
      <c r="G489" s="43"/>
      <c r="H489" s="43"/>
      <c r="I489" s="46"/>
      <c r="J489" s="47"/>
      <c r="K489" s="48"/>
      <c r="L489" s="49"/>
      <c r="M489" s="49"/>
      <c r="N489" s="50"/>
      <c r="O489" s="43"/>
      <c r="P489" s="43"/>
      <c r="Q489" s="44"/>
      <c r="R489" s="35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43"/>
      <c r="B490" s="40"/>
      <c r="C490" s="44"/>
      <c r="D490" s="45"/>
      <c r="E490" s="44"/>
      <c r="F490" s="43"/>
      <c r="G490" s="43"/>
      <c r="H490" s="43"/>
      <c r="I490" s="46"/>
      <c r="J490" s="47"/>
      <c r="K490" s="48"/>
      <c r="L490" s="49"/>
      <c r="M490" s="49"/>
      <c r="N490" s="50"/>
      <c r="O490" s="43"/>
      <c r="P490" s="43"/>
      <c r="Q490" s="44"/>
      <c r="R490" s="35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43"/>
      <c r="B491" s="40"/>
      <c r="C491" s="44"/>
      <c r="D491" s="45"/>
      <c r="E491" s="44"/>
      <c r="F491" s="43"/>
      <c r="G491" s="43"/>
      <c r="H491" s="43"/>
      <c r="I491" s="46"/>
      <c r="J491" s="47"/>
      <c r="K491" s="48"/>
      <c r="L491" s="49"/>
      <c r="M491" s="49"/>
      <c r="N491" s="50"/>
      <c r="O491" s="43"/>
      <c r="P491" s="43"/>
      <c r="Q491" s="44"/>
      <c r="R491" s="35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43"/>
      <c r="B492" s="40"/>
      <c r="C492" s="44"/>
      <c r="D492" s="45"/>
      <c r="E492" s="44"/>
      <c r="F492" s="43"/>
      <c r="G492" s="43"/>
      <c r="H492" s="43"/>
      <c r="I492" s="46"/>
      <c r="J492" s="47"/>
      <c r="K492" s="48"/>
      <c r="L492" s="49"/>
      <c r="M492" s="49"/>
      <c r="N492" s="50"/>
      <c r="O492" s="43"/>
      <c r="P492" s="43"/>
      <c r="Q492" s="44"/>
      <c r="R492" s="35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43"/>
      <c r="B493" s="40"/>
      <c r="C493" s="44"/>
      <c r="D493" s="45"/>
      <c r="E493" s="44"/>
      <c r="F493" s="43"/>
      <c r="G493" s="43"/>
      <c r="H493" s="43"/>
      <c r="I493" s="46"/>
      <c r="J493" s="47"/>
      <c r="K493" s="48"/>
      <c r="L493" s="49"/>
      <c r="M493" s="49"/>
      <c r="N493" s="50"/>
      <c r="O493" s="43"/>
      <c r="P493" s="43"/>
      <c r="Q493" s="44"/>
      <c r="R493" s="35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43"/>
      <c r="B494" s="40"/>
      <c r="C494" s="44"/>
      <c r="D494" s="45"/>
      <c r="E494" s="44"/>
      <c r="F494" s="43"/>
      <c r="G494" s="43"/>
      <c r="H494" s="43"/>
      <c r="I494" s="46"/>
      <c r="J494" s="47"/>
      <c r="K494" s="48"/>
      <c r="L494" s="49"/>
      <c r="M494" s="49"/>
      <c r="N494" s="50"/>
      <c r="O494" s="43"/>
      <c r="P494" s="43"/>
      <c r="Q494" s="44"/>
      <c r="R494" s="35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43"/>
      <c r="B495" s="40"/>
      <c r="C495" s="44"/>
      <c r="D495" s="45"/>
      <c r="E495" s="44"/>
      <c r="F495" s="43"/>
      <c r="G495" s="43"/>
      <c r="H495" s="43"/>
      <c r="I495" s="46"/>
      <c r="J495" s="47"/>
      <c r="K495" s="48"/>
      <c r="L495" s="49"/>
      <c r="M495" s="49"/>
      <c r="N495" s="50"/>
      <c r="O495" s="43"/>
      <c r="P495" s="43"/>
      <c r="Q495" s="44"/>
      <c r="R495" s="35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43"/>
      <c r="B496" s="40"/>
      <c r="C496" s="44"/>
      <c r="D496" s="45"/>
      <c r="E496" s="44"/>
      <c r="F496" s="43"/>
      <c r="G496" s="43"/>
      <c r="H496" s="43"/>
      <c r="I496" s="46"/>
      <c r="J496" s="47"/>
      <c r="K496" s="48"/>
      <c r="L496" s="49"/>
      <c r="M496" s="49"/>
      <c r="N496" s="50"/>
      <c r="O496" s="43"/>
      <c r="P496" s="43"/>
      <c r="Q496" s="44"/>
      <c r="R496" s="35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43"/>
      <c r="B497" s="40"/>
      <c r="C497" s="44"/>
      <c r="D497" s="45"/>
      <c r="E497" s="44"/>
      <c r="F497" s="43"/>
      <c r="G497" s="43"/>
      <c r="H497" s="43"/>
      <c r="I497" s="46"/>
      <c r="J497" s="47"/>
      <c r="K497" s="48"/>
      <c r="L497" s="49"/>
      <c r="M497" s="49"/>
      <c r="N497" s="50"/>
      <c r="O497" s="43"/>
      <c r="P497" s="43"/>
      <c r="Q497" s="44"/>
      <c r="R497" s="35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43"/>
      <c r="B498" s="40"/>
      <c r="C498" s="44"/>
      <c r="D498" s="45"/>
      <c r="E498" s="44"/>
      <c r="F498" s="43"/>
      <c r="G498" s="43"/>
      <c r="H498" s="43"/>
      <c r="I498" s="46"/>
      <c r="J498" s="47"/>
      <c r="K498" s="48"/>
      <c r="L498" s="49"/>
      <c r="M498" s="49"/>
      <c r="N498" s="50"/>
      <c r="O498" s="43"/>
      <c r="P498" s="43"/>
      <c r="Q498" s="44"/>
      <c r="R498" s="35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43"/>
      <c r="B499" s="40"/>
      <c r="C499" s="44"/>
      <c r="D499" s="45"/>
      <c r="E499" s="44"/>
      <c r="F499" s="43"/>
      <c r="G499" s="43"/>
      <c r="H499" s="43"/>
      <c r="I499" s="46"/>
      <c r="J499" s="47"/>
      <c r="K499" s="48"/>
      <c r="L499" s="49"/>
      <c r="M499" s="49"/>
      <c r="N499" s="50"/>
      <c r="O499" s="43"/>
      <c r="P499" s="43"/>
      <c r="Q499" s="44"/>
      <c r="R499" s="35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43"/>
      <c r="B500" s="40"/>
      <c r="C500" s="44"/>
      <c r="D500" s="45"/>
      <c r="E500" s="44"/>
      <c r="F500" s="43"/>
      <c r="G500" s="43"/>
      <c r="H500" s="43"/>
      <c r="I500" s="46"/>
      <c r="J500" s="47"/>
      <c r="K500" s="48"/>
      <c r="L500" s="49"/>
      <c r="M500" s="49"/>
      <c r="N500" s="50"/>
      <c r="O500" s="43"/>
      <c r="P500" s="43"/>
      <c r="Q500" s="44"/>
      <c r="R500" s="35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43"/>
      <c r="B501" s="40"/>
      <c r="C501" s="44"/>
      <c r="D501" s="45"/>
      <c r="E501" s="44"/>
      <c r="F501" s="43"/>
      <c r="G501" s="43"/>
      <c r="H501" s="43"/>
      <c r="I501" s="46"/>
      <c r="J501" s="47"/>
      <c r="K501" s="48"/>
      <c r="L501" s="49"/>
      <c r="M501" s="49"/>
      <c r="N501" s="50"/>
      <c r="O501" s="43"/>
      <c r="P501" s="43"/>
      <c r="Q501" s="44"/>
      <c r="R501" s="35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43"/>
      <c r="B502" s="40"/>
      <c r="C502" s="44"/>
      <c r="D502" s="45"/>
      <c r="E502" s="44"/>
      <c r="F502" s="43"/>
      <c r="G502" s="43"/>
      <c r="H502" s="43"/>
      <c r="I502" s="46"/>
      <c r="J502" s="47"/>
      <c r="K502" s="48"/>
      <c r="L502" s="49"/>
      <c r="M502" s="49"/>
      <c r="N502" s="50"/>
      <c r="O502" s="43"/>
      <c r="P502" s="43"/>
      <c r="Q502" s="44"/>
      <c r="R502" s="35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43"/>
      <c r="B503" s="40"/>
      <c r="C503" s="44"/>
      <c r="D503" s="45"/>
      <c r="E503" s="44"/>
      <c r="F503" s="43"/>
      <c r="G503" s="43"/>
      <c r="H503" s="43"/>
      <c r="I503" s="46"/>
      <c r="J503" s="47"/>
      <c r="K503" s="48"/>
      <c r="L503" s="49"/>
      <c r="M503" s="49"/>
      <c r="N503" s="50"/>
      <c r="O503" s="43"/>
      <c r="P503" s="43"/>
      <c r="Q503" s="44"/>
      <c r="R503" s="35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43"/>
      <c r="B504" s="40"/>
      <c r="C504" s="44"/>
      <c r="D504" s="45"/>
      <c r="E504" s="44"/>
      <c r="F504" s="43"/>
      <c r="G504" s="43"/>
      <c r="H504" s="43"/>
      <c r="I504" s="46"/>
      <c r="J504" s="47"/>
      <c r="K504" s="48"/>
      <c r="L504" s="49"/>
      <c r="M504" s="49"/>
      <c r="N504" s="50"/>
      <c r="O504" s="43"/>
      <c r="P504" s="43"/>
      <c r="Q504" s="44"/>
      <c r="R504" s="35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43"/>
      <c r="B505" s="40"/>
      <c r="C505" s="44"/>
      <c r="D505" s="45"/>
      <c r="E505" s="44"/>
      <c r="F505" s="43"/>
      <c r="G505" s="43"/>
      <c r="H505" s="43"/>
      <c r="I505" s="46"/>
      <c r="J505" s="47"/>
      <c r="K505" s="48"/>
      <c r="L505" s="49"/>
      <c r="M505" s="49"/>
      <c r="N505" s="50"/>
      <c r="O505" s="43"/>
      <c r="P505" s="43"/>
      <c r="Q505" s="44"/>
      <c r="R505" s="35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43"/>
      <c r="B506" s="40"/>
      <c r="C506" s="44"/>
      <c r="D506" s="45"/>
      <c r="E506" s="44"/>
      <c r="F506" s="43"/>
      <c r="G506" s="43"/>
      <c r="H506" s="43"/>
      <c r="I506" s="46"/>
      <c r="J506" s="47"/>
      <c r="K506" s="48"/>
      <c r="L506" s="49"/>
      <c r="M506" s="49"/>
      <c r="N506" s="50"/>
      <c r="O506" s="43"/>
      <c r="P506" s="43"/>
      <c r="Q506" s="44"/>
      <c r="R506" s="35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43"/>
      <c r="B507" s="40"/>
      <c r="C507" s="44"/>
      <c r="D507" s="45"/>
      <c r="E507" s="44"/>
      <c r="F507" s="43"/>
      <c r="G507" s="43"/>
      <c r="H507" s="43"/>
      <c r="I507" s="46"/>
      <c r="J507" s="47"/>
      <c r="K507" s="48"/>
      <c r="L507" s="49"/>
      <c r="M507" s="49"/>
      <c r="N507" s="50"/>
      <c r="O507" s="43"/>
      <c r="P507" s="43"/>
      <c r="Q507" s="44"/>
      <c r="R507" s="35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43"/>
      <c r="B508" s="40"/>
      <c r="C508" s="44"/>
      <c r="D508" s="45"/>
      <c r="E508" s="44"/>
      <c r="F508" s="43"/>
      <c r="G508" s="43"/>
      <c r="H508" s="43"/>
      <c r="I508" s="46"/>
      <c r="J508" s="47"/>
      <c r="K508" s="48"/>
      <c r="L508" s="49"/>
      <c r="M508" s="49"/>
      <c r="N508" s="50"/>
      <c r="O508" s="43"/>
      <c r="P508" s="43"/>
      <c r="Q508" s="44"/>
      <c r="R508" s="35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43"/>
      <c r="B509" s="40"/>
      <c r="C509" s="44"/>
      <c r="D509" s="45"/>
      <c r="E509" s="44"/>
      <c r="F509" s="43"/>
      <c r="G509" s="43"/>
      <c r="H509" s="43"/>
      <c r="I509" s="46"/>
      <c r="J509" s="47"/>
      <c r="K509" s="48"/>
      <c r="L509" s="49"/>
      <c r="M509" s="49"/>
      <c r="N509" s="50"/>
      <c r="O509" s="43"/>
      <c r="P509" s="43"/>
      <c r="Q509" s="44"/>
      <c r="R509" s="35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43"/>
      <c r="B510" s="40"/>
      <c r="C510" s="44"/>
      <c r="D510" s="45"/>
      <c r="E510" s="44"/>
      <c r="F510" s="43"/>
      <c r="G510" s="43"/>
      <c r="H510" s="43"/>
      <c r="I510" s="46"/>
      <c r="J510" s="47"/>
      <c r="K510" s="48"/>
      <c r="L510" s="49"/>
      <c r="M510" s="49"/>
      <c r="N510" s="50"/>
      <c r="O510" s="43"/>
      <c r="P510" s="43"/>
      <c r="Q510" s="44"/>
      <c r="R510" s="35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43"/>
      <c r="B511" s="40"/>
      <c r="C511" s="44"/>
      <c r="D511" s="45"/>
      <c r="E511" s="44"/>
      <c r="F511" s="43"/>
      <c r="G511" s="43"/>
      <c r="H511" s="43"/>
      <c r="I511" s="46"/>
      <c r="J511" s="47"/>
      <c r="K511" s="48"/>
      <c r="L511" s="49"/>
      <c r="M511" s="49"/>
      <c r="N511" s="50"/>
      <c r="O511" s="43"/>
      <c r="P511" s="43"/>
      <c r="Q511" s="44"/>
      <c r="R511" s="35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43"/>
      <c r="B512" s="40"/>
      <c r="C512" s="44"/>
      <c r="D512" s="45"/>
      <c r="E512" s="44"/>
      <c r="F512" s="43"/>
      <c r="G512" s="43"/>
      <c r="H512" s="43"/>
      <c r="I512" s="46"/>
      <c r="J512" s="47"/>
      <c r="K512" s="48"/>
      <c r="L512" s="49"/>
      <c r="M512" s="49"/>
      <c r="N512" s="50"/>
      <c r="O512" s="43"/>
      <c r="P512" s="43"/>
      <c r="Q512" s="44"/>
      <c r="R512" s="35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43"/>
      <c r="B513" s="40"/>
      <c r="C513" s="44"/>
      <c r="D513" s="45"/>
      <c r="E513" s="44"/>
      <c r="F513" s="43"/>
      <c r="G513" s="43"/>
      <c r="H513" s="43"/>
      <c r="I513" s="46"/>
      <c r="J513" s="47"/>
      <c r="K513" s="48"/>
      <c r="L513" s="49"/>
      <c r="M513" s="49"/>
      <c r="N513" s="50"/>
      <c r="O513" s="43"/>
      <c r="P513" s="43"/>
      <c r="Q513" s="44"/>
      <c r="R513" s="35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43"/>
      <c r="B514" s="40"/>
      <c r="C514" s="44"/>
      <c r="D514" s="45"/>
      <c r="E514" s="44"/>
      <c r="F514" s="43"/>
      <c r="G514" s="43"/>
      <c r="H514" s="43"/>
      <c r="I514" s="46"/>
      <c r="J514" s="47"/>
      <c r="K514" s="48"/>
      <c r="L514" s="49"/>
      <c r="M514" s="49"/>
      <c r="N514" s="50"/>
      <c r="O514" s="43"/>
      <c r="P514" s="43"/>
      <c r="Q514" s="44"/>
      <c r="R514" s="35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43"/>
      <c r="B515" s="40"/>
      <c r="C515" s="44"/>
      <c r="D515" s="45"/>
      <c r="E515" s="44"/>
      <c r="F515" s="43"/>
      <c r="G515" s="43"/>
      <c r="H515" s="43"/>
      <c r="I515" s="46"/>
      <c r="J515" s="47"/>
      <c r="K515" s="48"/>
      <c r="L515" s="49"/>
      <c r="M515" s="49"/>
      <c r="N515" s="50"/>
      <c r="O515" s="43"/>
      <c r="P515" s="43"/>
      <c r="Q515" s="44"/>
      <c r="R515" s="35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43"/>
      <c r="B516" s="40"/>
      <c r="C516" s="44"/>
      <c r="D516" s="45"/>
      <c r="E516" s="44"/>
      <c r="F516" s="43"/>
      <c r="G516" s="43"/>
      <c r="H516" s="43"/>
      <c r="I516" s="46"/>
      <c r="J516" s="47"/>
      <c r="K516" s="48"/>
      <c r="L516" s="49"/>
      <c r="M516" s="49"/>
      <c r="N516" s="50"/>
      <c r="O516" s="43"/>
      <c r="P516" s="43"/>
      <c r="Q516" s="44"/>
      <c r="R516" s="35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43"/>
      <c r="B517" s="40"/>
      <c r="C517" s="44"/>
      <c r="D517" s="45"/>
      <c r="E517" s="44"/>
      <c r="F517" s="43"/>
      <c r="G517" s="43"/>
      <c r="H517" s="43"/>
      <c r="I517" s="46"/>
      <c r="J517" s="47"/>
      <c r="K517" s="48"/>
      <c r="L517" s="49"/>
      <c r="M517" s="49"/>
      <c r="N517" s="50"/>
      <c r="O517" s="43"/>
      <c r="P517" s="43"/>
      <c r="Q517" s="44"/>
      <c r="R517" s="35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43"/>
      <c r="B518" s="40"/>
      <c r="C518" s="44"/>
      <c r="D518" s="45"/>
      <c r="E518" s="44"/>
      <c r="F518" s="43"/>
      <c r="G518" s="43"/>
      <c r="H518" s="43"/>
      <c r="I518" s="46"/>
      <c r="J518" s="47"/>
      <c r="K518" s="48"/>
      <c r="L518" s="49"/>
      <c r="M518" s="49"/>
      <c r="N518" s="50"/>
      <c r="O518" s="43"/>
      <c r="P518" s="43"/>
      <c r="Q518" s="44"/>
      <c r="R518" s="35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43"/>
      <c r="B519" s="40"/>
      <c r="C519" s="44"/>
      <c r="D519" s="45"/>
      <c r="E519" s="44"/>
      <c r="F519" s="43"/>
      <c r="G519" s="43"/>
      <c r="H519" s="43"/>
      <c r="I519" s="46"/>
      <c r="J519" s="47"/>
      <c r="K519" s="48"/>
      <c r="L519" s="49"/>
      <c r="M519" s="49"/>
      <c r="N519" s="50"/>
      <c r="O519" s="43"/>
      <c r="P519" s="43"/>
      <c r="Q519" s="44"/>
      <c r="R519" s="35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43"/>
      <c r="B520" s="40"/>
      <c r="C520" s="44"/>
      <c r="D520" s="45"/>
      <c r="E520" s="44"/>
      <c r="F520" s="43"/>
      <c r="G520" s="43"/>
      <c r="H520" s="43"/>
      <c r="I520" s="46"/>
      <c r="J520" s="47"/>
      <c r="K520" s="48"/>
      <c r="L520" s="49"/>
      <c r="M520" s="49"/>
      <c r="N520" s="50"/>
      <c r="O520" s="43"/>
      <c r="P520" s="43"/>
      <c r="Q520" s="44"/>
      <c r="R520" s="35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43"/>
      <c r="B521" s="40"/>
      <c r="C521" s="44"/>
      <c r="D521" s="45"/>
      <c r="E521" s="44"/>
      <c r="F521" s="43"/>
      <c r="G521" s="43"/>
      <c r="H521" s="43"/>
      <c r="I521" s="46"/>
      <c r="J521" s="47"/>
      <c r="K521" s="48"/>
      <c r="L521" s="49"/>
      <c r="M521" s="49"/>
      <c r="N521" s="50"/>
      <c r="O521" s="43"/>
      <c r="P521" s="43"/>
      <c r="Q521" s="44"/>
      <c r="R521" s="35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43"/>
      <c r="B522" s="40"/>
      <c r="C522" s="44"/>
      <c r="D522" s="45"/>
      <c r="E522" s="44"/>
      <c r="F522" s="43"/>
      <c r="G522" s="43"/>
      <c r="H522" s="43"/>
      <c r="I522" s="46"/>
      <c r="J522" s="47"/>
      <c r="K522" s="48"/>
      <c r="L522" s="49"/>
      <c r="M522" s="49"/>
      <c r="N522" s="50"/>
      <c r="O522" s="43"/>
      <c r="P522" s="43"/>
      <c r="Q522" s="44"/>
      <c r="R522" s="35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43"/>
      <c r="B523" s="40"/>
      <c r="C523" s="44"/>
      <c r="D523" s="45"/>
      <c r="E523" s="44"/>
      <c r="F523" s="43"/>
      <c r="G523" s="43"/>
      <c r="H523" s="43"/>
      <c r="I523" s="46"/>
      <c r="J523" s="47"/>
      <c r="K523" s="48"/>
      <c r="L523" s="49"/>
      <c r="M523" s="49"/>
      <c r="N523" s="50"/>
      <c r="O523" s="43"/>
      <c r="P523" s="43"/>
      <c r="Q523" s="44"/>
      <c r="R523" s="35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43"/>
      <c r="B524" s="40"/>
      <c r="C524" s="44"/>
      <c r="D524" s="45"/>
      <c r="E524" s="44"/>
      <c r="F524" s="43"/>
      <c r="G524" s="43"/>
      <c r="H524" s="43"/>
      <c r="I524" s="46"/>
      <c r="J524" s="47"/>
      <c r="K524" s="48"/>
      <c r="L524" s="49"/>
      <c r="M524" s="49"/>
      <c r="N524" s="50"/>
      <c r="O524" s="43"/>
      <c r="P524" s="43"/>
      <c r="Q524" s="44"/>
      <c r="R524" s="35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43"/>
      <c r="B525" s="40"/>
      <c r="C525" s="44"/>
      <c r="D525" s="45"/>
      <c r="E525" s="44"/>
      <c r="F525" s="43"/>
      <c r="G525" s="43"/>
      <c r="H525" s="43"/>
      <c r="I525" s="46"/>
      <c r="J525" s="47"/>
      <c r="K525" s="48"/>
      <c r="L525" s="49"/>
      <c r="M525" s="49"/>
      <c r="N525" s="50"/>
      <c r="O525" s="43"/>
      <c r="P525" s="43"/>
      <c r="Q525" s="44"/>
      <c r="R525" s="35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43"/>
      <c r="B526" s="40"/>
      <c r="C526" s="44"/>
      <c r="D526" s="45"/>
      <c r="E526" s="44"/>
      <c r="F526" s="43"/>
      <c r="G526" s="43"/>
      <c r="H526" s="43"/>
      <c r="I526" s="46"/>
      <c r="J526" s="47"/>
      <c r="K526" s="48"/>
      <c r="L526" s="49"/>
      <c r="M526" s="49"/>
      <c r="N526" s="50"/>
      <c r="O526" s="43"/>
      <c r="P526" s="43"/>
      <c r="Q526" s="44"/>
      <c r="R526" s="35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43"/>
      <c r="B527" s="40"/>
      <c r="C527" s="44"/>
      <c r="D527" s="45"/>
      <c r="E527" s="44"/>
      <c r="F527" s="43"/>
      <c r="G527" s="43"/>
      <c r="H527" s="43"/>
      <c r="I527" s="46"/>
      <c r="J527" s="47"/>
      <c r="K527" s="48"/>
      <c r="L527" s="49"/>
      <c r="M527" s="49"/>
      <c r="N527" s="50"/>
      <c r="O527" s="43"/>
      <c r="P527" s="43"/>
      <c r="Q527" s="44"/>
      <c r="R527" s="35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43"/>
      <c r="B528" s="40"/>
      <c r="C528" s="44"/>
      <c r="D528" s="45"/>
      <c r="E528" s="44"/>
      <c r="F528" s="43"/>
      <c r="G528" s="43"/>
      <c r="H528" s="43"/>
      <c r="I528" s="46"/>
      <c r="J528" s="47"/>
      <c r="K528" s="48"/>
      <c r="L528" s="49"/>
      <c r="M528" s="49"/>
      <c r="N528" s="50"/>
      <c r="O528" s="43"/>
      <c r="P528" s="43"/>
      <c r="Q528" s="44"/>
      <c r="R528" s="35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43"/>
      <c r="B529" s="40"/>
      <c r="C529" s="44"/>
      <c r="D529" s="45"/>
      <c r="E529" s="44"/>
      <c r="F529" s="43"/>
      <c r="G529" s="43"/>
      <c r="H529" s="43"/>
      <c r="I529" s="46"/>
      <c r="J529" s="47"/>
      <c r="K529" s="48"/>
      <c r="L529" s="49"/>
      <c r="M529" s="49"/>
      <c r="N529" s="50"/>
      <c r="O529" s="43"/>
      <c r="P529" s="43"/>
      <c r="Q529" s="44"/>
      <c r="R529" s="35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43"/>
      <c r="B530" s="40"/>
      <c r="C530" s="44"/>
      <c r="D530" s="45"/>
      <c r="E530" s="44"/>
      <c r="F530" s="43"/>
      <c r="G530" s="43"/>
      <c r="H530" s="43"/>
      <c r="I530" s="46"/>
      <c r="J530" s="47"/>
      <c r="K530" s="48"/>
      <c r="L530" s="49"/>
      <c r="M530" s="49"/>
      <c r="N530" s="50"/>
      <c r="O530" s="43"/>
      <c r="P530" s="43"/>
      <c r="Q530" s="44"/>
      <c r="R530" s="35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43"/>
      <c r="B531" s="40"/>
      <c r="C531" s="44"/>
      <c r="D531" s="45"/>
      <c r="E531" s="44"/>
      <c r="F531" s="43"/>
      <c r="G531" s="43"/>
      <c r="H531" s="43"/>
      <c r="I531" s="46"/>
      <c r="J531" s="47"/>
      <c r="K531" s="48"/>
      <c r="L531" s="49"/>
      <c r="M531" s="49"/>
      <c r="N531" s="50"/>
      <c r="O531" s="43"/>
      <c r="P531" s="43"/>
      <c r="Q531" s="44"/>
      <c r="R531" s="35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43"/>
      <c r="B532" s="40"/>
      <c r="C532" s="44"/>
      <c r="D532" s="45"/>
      <c r="E532" s="44"/>
      <c r="F532" s="43"/>
      <c r="G532" s="43"/>
      <c r="H532" s="43"/>
      <c r="I532" s="46"/>
      <c r="J532" s="47"/>
      <c r="K532" s="48"/>
      <c r="L532" s="49"/>
      <c r="M532" s="49"/>
      <c r="N532" s="50"/>
      <c r="O532" s="43"/>
      <c r="P532" s="43"/>
      <c r="Q532" s="44"/>
      <c r="R532" s="35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43"/>
      <c r="B533" s="40"/>
      <c r="C533" s="44"/>
      <c r="D533" s="45"/>
      <c r="E533" s="44"/>
      <c r="F533" s="43"/>
      <c r="G533" s="43"/>
      <c r="H533" s="43"/>
      <c r="I533" s="46"/>
      <c r="J533" s="47"/>
      <c r="K533" s="48"/>
      <c r="L533" s="49"/>
      <c r="M533" s="49"/>
      <c r="N533" s="50"/>
      <c r="O533" s="43"/>
      <c r="P533" s="43"/>
      <c r="Q533" s="44"/>
      <c r="R533" s="35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43"/>
      <c r="B534" s="40"/>
      <c r="C534" s="44"/>
      <c r="D534" s="45"/>
      <c r="E534" s="44"/>
      <c r="F534" s="43"/>
      <c r="G534" s="43"/>
      <c r="H534" s="43"/>
      <c r="I534" s="46"/>
      <c r="J534" s="47"/>
      <c r="K534" s="48"/>
      <c r="L534" s="49"/>
      <c r="M534" s="49"/>
      <c r="N534" s="50"/>
      <c r="O534" s="43"/>
      <c r="P534" s="43"/>
      <c r="Q534" s="44"/>
      <c r="R534" s="35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43"/>
      <c r="B535" s="40"/>
      <c r="C535" s="44"/>
      <c r="D535" s="45"/>
      <c r="E535" s="44"/>
      <c r="F535" s="43"/>
      <c r="G535" s="43"/>
      <c r="H535" s="43"/>
      <c r="I535" s="46"/>
      <c r="J535" s="47"/>
      <c r="K535" s="48"/>
      <c r="L535" s="49"/>
      <c r="M535" s="49"/>
      <c r="N535" s="50"/>
      <c r="O535" s="43"/>
      <c r="P535" s="43"/>
      <c r="Q535" s="44"/>
      <c r="R535" s="35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43"/>
      <c r="B536" s="40"/>
      <c r="C536" s="44"/>
      <c r="D536" s="45"/>
      <c r="E536" s="44"/>
      <c r="F536" s="43"/>
      <c r="G536" s="43"/>
      <c r="H536" s="43"/>
      <c r="I536" s="46"/>
      <c r="J536" s="47"/>
      <c r="K536" s="48"/>
      <c r="L536" s="49"/>
      <c r="M536" s="49"/>
      <c r="N536" s="50"/>
      <c r="O536" s="43"/>
      <c r="P536" s="43"/>
      <c r="Q536" s="44"/>
      <c r="R536" s="35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43"/>
      <c r="B537" s="40"/>
      <c r="C537" s="44"/>
      <c r="D537" s="45"/>
      <c r="E537" s="44"/>
      <c r="F537" s="43"/>
      <c r="G537" s="43"/>
      <c r="H537" s="43"/>
      <c r="I537" s="46"/>
      <c r="J537" s="47"/>
      <c r="K537" s="48"/>
      <c r="L537" s="49"/>
      <c r="M537" s="49"/>
      <c r="N537" s="50"/>
      <c r="O537" s="43"/>
      <c r="P537" s="43"/>
      <c r="Q537" s="44"/>
      <c r="R537" s="35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43"/>
      <c r="B538" s="40"/>
      <c r="C538" s="44"/>
      <c r="D538" s="45"/>
      <c r="E538" s="44"/>
      <c r="F538" s="43"/>
      <c r="G538" s="43"/>
      <c r="H538" s="43"/>
      <c r="I538" s="46"/>
      <c r="J538" s="47"/>
      <c r="K538" s="48"/>
      <c r="L538" s="49"/>
      <c r="M538" s="49"/>
      <c r="N538" s="50"/>
      <c r="O538" s="43"/>
      <c r="P538" s="43"/>
      <c r="Q538" s="44"/>
      <c r="R538" s="35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43"/>
      <c r="B539" s="40"/>
      <c r="C539" s="44"/>
      <c r="D539" s="45"/>
      <c r="E539" s="44"/>
      <c r="F539" s="43"/>
      <c r="G539" s="43"/>
      <c r="H539" s="43"/>
      <c r="I539" s="46"/>
      <c r="J539" s="47"/>
      <c r="K539" s="48"/>
      <c r="L539" s="49"/>
      <c r="M539" s="49"/>
      <c r="N539" s="50"/>
      <c r="O539" s="43"/>
      <c r="P539" s="43"/>
      <c r="Q539" s="44"/>
      <c r="R539" s="35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43"/>
      <c r="B540" s="40"/>
      <c r="C540" s="44"/>
      <c r="D540" s="45"/>
      <c r="E540" s="44"/>
      <c r="F540" s="43"/>
      <c r="G540" s="43"/>
      <c r="H540" s="43"/>
      <c r="I540" s="46"/>
      <c r="J540" s="47"/>
      <c r="K540" s="48"/>
      <c r="L540" s="49"/>
      <c r="M540" s="49"/>
      <c r="N540" s="50"/>
      <c r="O540" s="43"/>
      <c r="P540" s="43"/>
      <c r="Q540" s="44"/>
      <c r="R540" s="35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43"/>
      <c r="B541" s="40"/>
      <c r="C541" s="44"/>
      <c r="D541" s="45"/>
      <c r="E541" s="44"/>
      <c r="F541" s="43"/>
      <c r="G541" s="43"/>
      <c r="H541" s="43"/>
      <c r="I541" s="46"/>
      <c r="J541" s="47"/>
      <c r="K541" s="48"/>
      <c r="L541" s="49"/>
      <c r="M541" s="49"/>
      <c r="N541" s="50"/>
      <c r="O541" s="43"/>
      <c r="P541" s="43"/>
      <c r="Q541" s="44"/>
      <c r="R541" s="35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43"/>
      <c r="B542" s="40"/>
      <c r="C542" s="44"/>
      <c r="D542" s="45"/>
      <c r="E542" s="44"/>
      <c r="F542" s="43"/>
      <c r="G542" s="43"/>
      <c r="H542" s="43"/>
      <c r="I542" s="46"/>
      <c r="J542" s="47"/>
      <c r="K542" s="48"/>
      <c r="L542" s="49"/>
      <c r="M542" s="49"/>
      <c r="N542" s="50"/>
      <c r="O542" s="43"/>
      <c r="P542" s="43"/>
      <c r="Q542" s="44"/>
      <c r="R542" s="35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43"/>
      <c r="B543" s="40"/>
      <c r="C543" s="44"/>
      <c r="D543" s="45"/>
      <c r="E543" s="44"/>
      <c r="F543" s="43"/>
      <c r="G543" s="43"/>
      <c r="H543" s="43"/>
      <c r="I543" s="46"/>
      <c r="J543" s="47"/>
      <c r="K543" s="48"/>
      <c r="L543" s="49"/>
      <c r="M543" s="49"/>
      <c r="N543" s="50"/>
      <c r="O543" s="43"/>
      <c r="P543" s="43"/>
      <c r="Q543" s="44"/>
      <c r="R543" s="35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43"/>
      <c r="B544" s="40"/>
      <c r="C544" s="44"/>
      <c r="D544" s="45"/>
      <c r="E544" s="44"/>
      <c r="F544" s="43"/>
      <c r="G544" s="43"/>
      <c r="H544" s="43"/>
      <c r="I544" s="46"/>
      <c r="J544" s="47"/>
      <c r="K544" s="48"/>
      <c r="L544" s="49"/>
      <c r="M544" s="49"/>
      <c r="N544" s="50"/>
      <c r="O544" s="43"/>
      <c r="P544" s="43"/>
      <c r="Q544" s="44"/>
      <c r="R544" s="35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43"/>
      <c r="B545" s="40"/>
      <c r="C545" s="44"/>
      <c r="D545" s="45"/>
      <c r="E545" s="44"/>
      <c r="F545" s="43"/>
      <c r="G545" s="43"/>
      <c r="H545" s="43"/>
      <c r="I545" s="46"/>
      <c r="J545" s="47"/>
      <c r="K545" s="48"/>
      <c r="L545" s="49"/>
      <c r="M545" s="49"/>
      <c r="N545" s="50"/>
      <c r="O545" s="43"/>
      <c r="P545" s="43"/>
      <c r="Q545" s="44"/>
      <c r="R545" s="35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43"/>
      <c r="B546" s="40"/>
      <c r="C546" s="44"/>
      <c r="D546" s="45"/>
      <c r="E546" s="44"/>
      <c r="F546" s="43"/>
      <c r="G546" s="43"/>
      <c r="H546" s="43"/>
      <c r="I546" s="46"/>
      <c r="J546" s="47"/>
      <c r="K546" s="48"/>
      <c r="L546" s="49"/>
      <c r="M546" s="49"/>
      <c r="N546" s="50"/>
      <c r="O546" s="43"/>
      <c r="P546" s="43"/>
      <c r="Q546" s="44"/>
      <c r="R546" s="35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43"/>
      <c r="B547" s="40"/>
      <c r="C547" s="44"/>
      <c r="D547" s="45"/>
      <c r="E547" s="44"/>
      <c r="F547" s="43"/>
      <c r="G547" s="43"/>
      <c r="H547" s="43"/>
      <c r="I547" s="46"/>
      <c r="J547" s="47"/>
      <c r="K547" s="48"/>
      <c r="L547" s="49"/>
      <c r="M547" s="49"/>
      <c r="N547" s="50"/>
      <c r="O547" s="43"/>
      <c r="P547" s="43"/>
      <c r="Q547" s="44"/>
      <c r="R547" s="35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43"/>
      <c r="B548" s="40"/>
      <c r="C548" s="44"/>
      <c r="D548" s="45"/>
      <c r="E548" s="44"/>
      <c r="F548" s="43"/>
      <c r="G548" s="43"/>
      <c r="H548" s="43"/>
      <c r="I548" s="46"/>
      <c r="J548" s="47"/>
      <c r="K548" s="48"/>
      <c r="L548" s="49"/>
      <c r="M548" s="49"/>
      <c r="N548" s="50"/>
      <c r="O548" s="43"/>
      <c r="P548" s="43"/>
      <c r="Q548" s="44"/>
      <c r="R548" s="35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43"/>
      <c r="B549" s="40"/>
      <c r="C549" s="44"/>
      <c r="D549" s="45"/>
      <c r="E549" s="44"/>
      <c r="F549" s="43"/>
      <c r="G549" s="43"/>
      <c r="H549" s="43"/>
      <c r="I549" s="46"/>
      <c r="J549" s="47"/>
      <c r="K549" s="48"/>
      <c r="L549" s="49"/>
      <c r="M549" s="49"/>
      <c r="N549" s="50"/>
      <c r="O549" s="43"/>
      <c r="P549" s="43"/>
      <c r="Q549" s="44"/>
      <c r="R549" s="35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43"/>
      <c r="B550" s="40"/>
      <c r="C550" s="44"/>
      <c r="D550" s="45"/>
      <c r="E550" s="44"/>
      <c r="F550" s="43"/>
      <c r="G550" s="43"/>
      <c r="H550" s="43"/>
      <c r="I550" s="46"/>
      <c r="J550" s="47"/>
      <c r="K550" s="48"/>
      <c r="L550" s="49"/>
      <c r="M550" s="49"/>
      <c r="N550" s="50"/>
      <c r="O550" s="43"/>
      <c r="P550" s="43"/>
      <c r="Q550" s="44"/>
      <c r="R550" s="35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43"/>
      <c r="B551" s="40"/>
      <c r="C551" s="44"/>
      <c r="D551" s="45"/>
      <c r="E551" s="44"/>
      <c r="F551" s="43"/>
      <c r="G551" s="43"/>
      <c r="H551" s="43"/>
      <c r="I551" s="46"/>
      <c r="J551" s="47"/>
      <c r="K551" s="48"/>
      <c r="L551" s="49"/>
      <c r="M551" s="49"/>
      <c r="N551" s="50"/>
      <c r="O551" s="43"/>
      <c r="P551" s="43"/>
      <c r="Q551" s="44"/>
      <c r="R551" s="35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43"/>
      <c r="B552" s="40"/>
      <c r="C552" s="44"/>
      <c r="D552" s="45"/>
      <c r="E552" s="44"/>
      <c r="F552" s="43"/>
      <c r="G552" s="43"/>
      <c r="H552" s="43"/>
      <c r="I552" s="46"/>
      <c r="J552" s="47"/>
      <c r="K552" s="48"/>
      <c r="L552" s="49"/>
      <c r="M552" s="49"/>
      <c r="N552" s="50"/>
      <c r="O552" s="43"/>
      <c r="P552" s="43"/>
      <c r="Q552" s="44"/>
      <c r="R552" s="35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43"/>
      <c r="B553" s="40"/>
      <c r="C553" s="44"/>
      <c r="D553" s="45"/>
      <c r="E553" s="44"/>
      <c r="F553" s="43"/>
      <c r="G553" s="43"/>
      <c r="H553" s="43"/>
      <c r="I553" s="46"/>
      <c r="J553" s="47"/>
      <c r="K553" s="48"/>
      <c r="L553" s="49"/>
      <c r="M553" s="49"/>
      <c r="N553" s="50"/>
      <c r="O553" s="43"/>
      <c r="P553" s="43"/>
      <c r="Q553" s="44"/>
      <c r="R553" s="35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43"/>
      <c r="B554" s="40"/>
      <c r="C554" s="44"/>
      <c r="D554" s="45"/>
      <c r="E554" s="44"/>
      <c r="F554" s="43"/>
      <c r="G554" s="43"/>
      <c r="H554" s="43"/>
      <c r="I554" s="46"/>
      <c r="J554" s="47"/>
      <c r="K554" s="48"/>
      <c r="L554" s="49"/>
      <c r="M554" s="49"/>
      <c r="N554" s="50"/>
      <c r="O554" s="43"/>
      <c r="P554" s="43"/>
      <c r="Q554" s="44"/>
      <c r="R554" s="35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43"/>
      <c r="B555" s="40"/>
      <c r="C555" s="44"/>
      <c r="D555" s="45"/>
      <c r="E555" s="44"/>
      <c r="F555" s="43"/>
      <c r="G555" s="43"/>
      <c r="H555" s="43"/>
      <c r="I555" s="46"/>
      <c r="J555" s="47"/>
      <c r="K555" s="48"/>
      <c r="L555" s="49"/>
      <c r="M555" s="49"/>
      <c r="N555" s="50"/>
      <c r="O555" s="43"/>
      <c r="P555" s="43"/>
      <c r="Q555" s="44"/>
      <c r="R555" s="35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43"/>
      <c r="B556" s="40"/>
      <c r="C556" s="44"/>
      <c r="D556" s="45"/>
      <c r="E556" s="44"/>
      <c r="F556" s="43"/>
      <c r="G556" s="43"/>
      <c r="H556" s="43"/>
      <c r="I556" s="46"/>
      <c r="J556" s="47"/>
      <c r="K556" s="48"/>
      <c r="L556" s="49"/>
      <c r="M556" s="49"/>
      <c r="N556" s="50"/>
      <c r="O556" s="43"/>
      <c r="P556" s="43"/>
      <c r="Q556" s="44"/>
      <c r="R556" s="35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43"/>
      <c r="B557" s="40"/>
      <c r="C557" s="44"/>
      <c r="D557" s="45"/>
      <c r="E557" s="44"/>
      <c r="F557" s="43"/>
      <c r="G557" s="43"/>
      <c r="H557" s="43"/>
      <c r="I557" s="46"/>
      <c r="J557" s="47"/>
      <c r="K557" s="48"/>
      <c r="L557" s="49"/>
      <c r="M557" s="49"/>
      <c r="N557" s="50"/>
      <c r="O557" s="43"/>
      <c r="P557" s="43"/>
      <c r="Q557" s="44"/>
      <c r="R557" s="35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43"/>
      <c r="B558" s="40"/>
      <c r="C558" s="44"/>
      <c r="D558" s="45"/>
      <c r="E558" s="44"/>
      <c r="F558" s="43"/>
      <c r="G558" s="43"/>
      <c r="H558" s="43"/>
      <c r="I558" s="46"/>
      <c r="J558" s="47"/>
      <c r="K558" s="48"/>
      <c r="L558" s="49"/>
      <c r="M558" s="49"/>
      <c r="N558" s="50"/>
      <c r="O558" s="43"/>
      <c r="P558" s="43"/>
      <c r="Q558" s="44"/>
      <c r="R558" s="35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43"/>
      <c r="B559" s="40"/>
      <c r="C559" s="44"/>
      <c r="D559" s="45"/>
      <c r="E559" s="44"/>
      <c r="F559" s="43"/>
      <c r="G559" s="43"/>
      <c r="H559" s="43"/>
      <c r="I559" s="46"/>
      <c r="J559" s="47"/>
      <c r="K559" s="48"/>
      <c r="L559" s="49"/>
      <c r="M559" s="49"/>
      <c r="N559" s="50"/>
      <c r="O559" s="43"/>
      <c r="P559" s="43"/>
      <c r="Q559" s="44"/>
      <c r="R559" s="35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43"/>
      <c r="B560" s="40"/>
      <c r="C560" s="44"/>
      <c r="D560" s="45"/>
      <c r="E560" s="44"/>
      <c r="F560" s="43"/>
      <c r="G560" s="43"/>
      <c r="H560" s="43"/>
      <c r="I560" s="46"/>
      <c r="J560" s="47"/>
      <c r="K560" s="48"/>
      <c r="L560" s="49"/>
      <c r="M560" s="49"/>
      <c r="N560" s="50"/>
      <c r="O560" s="43"/>
      <c r="P560" s="43"/>
      <c r="Q560" s="44"/>
      <c r="R560" s="35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43"/>
      <c r="B561" s="40"/>
      <c r="C561" s="44"/>
      <c r="D561" s="45"/>
      <c r="E561" s="44"/>
      <c r="F561" s="43"/>
      <c r="G561" s="43"/>
      <c r="H561" s="43"/>
      <c r="I561" s="46"/>
      <c r="J561" s="47"/>
      <c r="K561" s="48"/>
      <c r="L561" s="49"/>
      <c r="M561" s="49"/>
      <c r="N561" s="50"/>
      <c r="O561" s="43"/>
      <c r="P561" s="43"/>
      <c r="Q561" s="44"/>
      <c r="R561" s="35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43"/>
      <c r="B562" s="40"/>
      <c r="C562" s="44"/>
      <c r="D562" s="45"/>
      <c r="E562" s="44"/>
      <c r="F562" s="43"/>
      <c r="G562" s="43"/>
      <c r="H562" s="43"/>
      <c r="I562" s="46"/>
      <c r="J562" s="47"/>
      <c r="K562" s="48"/>
      <c r="L562" s="49"/>
      <c r="M562" s="49"/>
      <c r="N562" s="50"/>
      <c r="O562" s="43"/>
      <c r="P562" s="43"/>
      <c r="Q562" s="44"/>
      <c r="R562" s="35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43"/>
      <c r="B563" s="40"/>
      <c r="C563" s="44"/>
      <c r="D563" s="45"/>
      <c r="E563" s="44"/>
      <c r="F563" s="43"/>
      <c r="G563" s="43"/>
      <c r="H563" s="43"/>
      <c r="I563" s="46"/>
      <c r="J563" s="47"/>
      <c r="K563" s="48"/>
      <c r="L563" s="49"/>
      <c r="M563" s="49"/>
      <c r="N563" s="50"/>
      <c r="O563" s="43"/>
      <c r="P563" s="43"/>
      <c r="Q563" s="44"/>
      <c r="R563" s="35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43"/>
      <c r="B564" s="40"/>
      <c r="C564" s="44"/>
      <c r="D564" s="45"/>
      <c r="E564" s="44"/>
      <c r="F564" s="43"/>
      <c r="G564" s="43"/>
      <c r="H564" s="43"/>
      <c r="I564" s="46"/>
      <c r="J564" s="47"/>
      <c r="K564" s="48"/>
      <c r="L564" s="49"/>
      <c r="M564" s="49"/>
      <c r="N564" s="50"/>
      <c r="O564" s="43"/>
      <c r="P564" s="43"/>
      <c r="Q564" s="44"/>
      <c r="R564" s="35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43"/>
      <c r="B565" s="40"/>
      <c r="C565" s="44"/>
      <c r="D565" s="45"/>
      <c r="E565" s="44"/>
      <c r="F565" s="43"/>
      <c r="G565" s="43"/>
      <c r="H565" s="43"/>
      <c r="I565" s="46"/>
      <c r="J565" s="47"/>
      <c r="K565" s="48"/>
      <c r="L565" s="49"/>
      <c r="M565" s="49"/>
      <c r="N565" s="50"/>
      <c r="O565" s="43"/>
      <c r="P565" s="43"/>
      <c r="Q565" s="44"/>
      <c r="R565" s="35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43"/>
      <c r="B566" s="40"/>
      <c r="C566" s="44"/>
      <c r="D566" s="45"/>
      <c r="E566" s="44"/>
      <c r="F566" s="43"/>
      <c r="G566" s="43"/>
      <c r="H566" s="43"/>
      <c r="I566" s="46"/>
      <c r="J566" s="47"/>
      <c r="K566" s="48"/>
      <c r="L566" s="49"/>
      <c r="M566" s="49"/>
      <c r="N566" s="50"/>
      <c r="O566" s="43"/>
      <c r="P566" s="43"/>
      <c r="Q566" s="44"/>
      <c r="R566" s="35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43"/>
      <c r="B567" s="40"/>
      <c r="C567" s="44"/>
      <c r="D567" s="45"/>
      <c r="E567" s="44"/>
      <c r="F567" s="43"/>
      <c r="G567" s="43"/>
      <c r="H567" s="43"/>
      <c r="I567" s="46"/>
      <c r="J567" s="47"/>
      <c r="K567" s="48"/>
      <c r="L567" s="49"/>
      <c r="M567" s="49"/>
      <c r="N567" s="50"/>
      <c r="O567" s="43"/>
      <c r="P567" s="43"/>
      <c r="Q567" s="44"/>
      <c r="R567" s="35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43"/>
      <c r="B568" s="40"/>
      <c r="C568" s="44"/>
      <c r="D568" s="45"/>
      <c r="E568" s="44"/>
      <c r="F568" s="43"/>
      <c r="G568" s="43"/>
      <c r="H568" s="43"/>
      <c r="I568" s="46"/>
      <c r="J568" s="47"/>
      <c r="K568" s="48"/>
      <c r="L568" s="49"/>
      <c r="M568" s="49"/>
      <c r="N568" s="50"/>
      <c r="O568" s="43"/>
      <c r="P568" s="43"/>
      <c r="Q568" s="44"/>
      <c r="R568" s="35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43"/>
      <c r="B569" s="40"/>
      <c r="C569" s="44"/>
      <c r="D569" s="45"/>
      <c r="E569" s="44"/>
      <c r="F569" s="43"/>
      <c r="G569" s="43"/>
      <c r="H569" s="43"/>
      <c r="I569" s="46"/>
      <c r="J569" s="47"/>
      <c r="K569" s="48"/>
      <c r="L569" s="49"/>
      <c r="M569" s="49"/>
      <c r="N569" s="50"/>
      <c r="O569" s="43"/>
      <c r="P569" s="43"/>
      <c r="Q569" s="44"/>
      <c r="R569" s="35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43"/>
      <c r="B570" s="40"/>
      <c r="C570" s="44"/>
      <c r="D570" s="45"/>
      <c r="E570" s="44"/>
      <c r="F570" s="43"/>
      <c r="G570" s="43"/>
      <c r="H570" s="43"/>
      <c r="I570" s="46"/>
      <c r="J570" s="47"/>
      <c r="K570" s="48"/>
      <c r="L570" s="49"/>
      <c r="M570" s="49"/>
      <c r="N570" s="50"/>
      <c r="O570" s="43"/>
      <c r="P570" s="43"/>
      <c r="Q570" s="44"/>
      <c r="R570" s="35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43"/>
      <c r="B571" s="40"/>
      <c r="C571" s="44"/>
      <c r="D571" s="45"/>
      <c r="E571" s="44"/>
      <c r="F571" s="43"/>
      <c r="G571" s="43"/>
      <c r="H571" s="43"/>
      <c r="I571" s="46"/>
      <c r="J571" s="47"/>
      <c r="K571" s="48"/>
      <c r="L571" s="49"/>
      <c r="M571" s="49"/>
      <c r="N571" s="50"/>
      <c r="O571" s="43"/>
      <c r="P571" s="43"/>
      <c r="Q571" s="44"/>
      <c r="R571" s="35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43"/>
      <c r="B572" s="40"/>
      <c r="C572" s="44"/>
      <c r="D572" s="45"/>
      <c r="E572" s="44"/>
      <c r="F572" s="43"/>
      <c r="G572" s="43"/>
      <c r="H572" s="43"/>
      <c r="I572" s="46"/>
      <c r="J572" s="47"/>
      <c r="K572" s="48"/>
      <c r="L572" s="49"/>
      <c r="M572" s="49"/>
      <c r="N572" s="50"/>
      <c r="O572" s="43"/>
      <c r="P572" s="43"/>
      <c r="Q572" s="44"/>
      <c r="R572" s="35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43"/>
      <c r="B573" s="40"/>
      <c r="C573" s="44"/>
      <c r="D573" s="45"/>
      <c r="E573" s="44"/>
      <c r="F573" s="43"/>
      <c r="G573" s="43"/>
      <c r="H573" s="43"/>
      <c r="I573" s="46"/>
      <c r="J573" s="47"/>
      <c r="K573" s="48"/>
      <c r="L573" s="49"/>
      <c r="M573" s="49"/>
      <c r="N573" s="50"/>
      <c r="O573" s="43"/>
      <c r="P573" s="43"/>
      <c r="Q573" s="44"/>
      <c r="R573" s="35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43"/>
      <c r="B574" s="40"/>
      <c r="C574" s="44"/>
      <c r="D574" s="45"/>
      <c r="E574" s="44"/>
      <c r="F574" s="43"/>
      <c r="G574" s="43"/>
      <c r="H574" s="43"/>
      <c r="I574" s="46"/>
      <c r="J574" s="47"/>
      <c r="K574" s="48"/>
      <c r="L574" s="49"/>
      <c r="M574" s="49"/>
      <c r="N574" s="50"/>
      <c r="O574" s="43"/>
      <c r="P574" s="43"/>
      <c r="Q574" s="44"/>
      <c r="R574" s="35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43"/>
      <c r="B575" s="40"/>
      <c r="C575" s="44"/>
      <c r="D575" s="45"/>
      <c r="E575" s="44"/>
      <c r="F575" s="43"/>
      <c r="G575" s="43"/>
      <c r="H575" s="43"/>
      <c r="I575" s="46"/>
      <c r="J575" s="47"/>
      <c r="K575" s="48"/>
      <c r="L575" s="49"/>
      <c r="M575" s="49"/>
      <c r="N575" s="50"/>
      <c r="O575" s="43"/>
      <c r="P575" s="43"/>
      <c r="Q575" s="44"/>
      <c r="R575" s="35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43"/>
      <c r="B576" s="40"/>
      <c r="C576" s="44"/>
      <c r="D576" s="45"/>
      <c r="E576" s="44"/>
      <c r="F576" s="43"/>
      <c r="G576" s="43"/>
      <c r="H576" s="43"/>
      <c r="I576" s="46"/>
      <c r="J576" s="47"/>
      <c r="K576" s="48"/>
      <c r="L576" s="49"/>
      <c r="M576" s="49"/>
      <c r="N576" s="50"/>
      <c r="O576" s="43"/>
      <c r="P576" s="43"/>
      <c r="Q576" s="44"/>
      <c r="R576" s="35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43"/>
      <c r="B577" s="40"/>
      <c r="C577" s="44"/>
      <c r="D577" s="45"/>
      <c r="E577" s="44"/>
      <c r="F577" s="43"/>
      <c r="G577" s="43"/>
      <c r="H577" s="43"/>
      <c r="I577" s="46"/>
      <c r="J577" s="47"/>
      <c r="K577" s="48"/>
      <c r="L577" s="49"/>
      <c r="M577" s="49"/>
      <c r="N577" s="50"/>
      <c r="O577" s="43"/>
      <c r="P577" s="43"/>
      <c r="Q577" s="44"/>
      <c r="R577" s="35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43"/>
      <c r="B578" s="40"/>
      <c r="C578" s="44"/>
      <c r="D578" s="45"/>
      <c r="E578" s="44"/>
      <c r="F578" s="43"/>
      <c r="G578" s="43"/>
      <c r="H578" s="43"/>
      <c r="I578" s="46"/>
      <c r="J578" s="47"/>
      <c r="K578" s="48"/>
      <c r="L578" s="49"/>
      <c r="M578" s="49"/>
      <c r="N578" s="50"/>
      <c r="O578" s="43"/>
      <c r="P578" s="43"/>
      <c r="Q578" s="44"/>
      <c r="R578" s="35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43"/>
      <c r="B579" s="40"/>
      <c r="C579" s="44"/>
      <c r="D579" s="45"/>
      <c r="E579" s="44"/>
      <c r="F579" s="43"/>
      <c r="G579" s="43"/>
      <c r="H579" s="43"/>
      <c r="I579" s="46"/>
      <c r="J579" s="47"/>
      <c r="K579" s="48"/>
      <c r="L579" s="49"/>
      <c r="M579" s="49"/>
      <c r="N579" s="50"/>
      <c r="O579" s="43"/>
      <c r="P579" s="43"/>
      <c r="Q579" s="44"/>
      <c r="R579" s="35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43"/>
      <c r="B580" s="40"/>
      <c r="C580" s="44"/>
      <c r="D580" s="45"/>
      <c r="E580" s="44"/>
      <c r="F580" s="43"/>
      <c r="G580" s="43"/>
      <c r="H580" s="43"/>
      <c r="I580" s="46"/>
      <c r="J580" s="47"/>
      <c r="K580" s="48"/>
      <c r="L580" s="49"/>
      <c r="M580" s="49"/>
      <c r="N580" s="50"/>
      <c r="O580" s="43"/>
      <c r="P580" s="43"/>
      <c r="Q580" s="44"/>
      <c r="R580" s="35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43"/>
      <c r="B581" s="40"/>
      <c r="C581" s="44"/>
      <c r="D581" s="45"/>
      <c r="E581" s="44"/>
      <c r="F581" s="43"/>
      <c r="G581" s="43"/>
      <c r="H581" s="43"/>
      <c r="I581" s="46"/>
      <c r="J581" s="47"/>
      <c r="K581" s="48"/>
      <c r="L581" s="49"/>
      <c r="M581" s="49"/>
      <c r="N581" s="50"/>
      <c r="O581" s="43"/>
      <c r="P581" s="43"/>
      <c r="Q581" s="44"/>
      <c r="R581" s="35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43"/>
      <c r="B582" s="40"/>
      <c r="C582" s="44"/>
      <c r="D582" s="45"/>
      <c r="E582" s="44"/>
      <c r="F582" s="43"/>
      <c r="G582" s="43"/>
      <c r="H582" s="43"/>
      <c r="I582" s="46"/>
      <c r="J582" s="47"/>
      <c r="K582" s="48"/>
      <c r="L582" s="49"/>
      <c r="M582" s="49"/>
      <c r="N582" s="50"/>
      <c r="O582" s="43"/>
      <c r="P582" s="43"/>
      <c r="Q582" s="44"/>
      <c r="R582" s="35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43"/>
      <c r="B583" s="40"/>
      <c r="C583" s="44"/>
      <c r="D583" s="45"/>
      <c r="E583" s="44"/>
      <c r="F583" s="43"/>
      <c r="G583" s="43"/>
      <c r="H583" s="43"/>
      <c r="I583" s="46"/>
      <c r="J583" s="47"/>
      <c r="K583" s="48"/>
      <c r="L583" s="49"/>
      <c r="M583" s="49"/>
      <c r="N583" s="50"/>
      <c r="O583" s="43"/>
      <c r="P583" s="43"/>
      <c r="Q583" s="44"/>
      <c r="R583" s="35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43"/>
      <c r="B584" s="40"/>
      <c r="C584" s="44"/>
      <c r="D584" s="45"/>
      <c r="E584" s="44"/>
      <c r="F584" s="43"/>
      <c r="G584" s="43"/>
      <c r="H584" s="43"/>
      <c r="I584" s="46"/>
      <c r="J584" s="47"/>
      <c r="K584" s="48"/>
      <c r="L584" s="49"/>
      <c r="M584" s="49"/>
      <c r="N584" s="50"/>
      <c r="O584" s="43"/>
      <c r="P584" s="43"/>
      <c r="Q584" s="44"/>
      <c r="R584" s="35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43"/>
      <c r="B585" s="40"/>
      <c r="C585" s="44"/>
      <c r="D585" s="45"/>
      <c r="E585" s="44"/>
      <c r="F585" s="43"/>
      <c r="G585" s="43"/>
      <c r="H585" s="43"/>
      <c r="I585" s="46"/>
      <c r="J585" s="47"/>
      <c r="K585" s="48"/>
      <c r="L585" s="49"/>
      <c r="M585" s="49"/>
      <c r="N585" s="50"/>
      <c r="O585" s="43"/>
      <c r="P585" s="43"/>
      <c r="Q585" s="44"/>
      <c r="R585" s="35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43"/>
      <c r="B586" s="40"/>
      <c r="C586" s="44"/>
      <c r="D586" s="45"/>
      <c r="E586" s="44"/>
      <c r="F586" s="43"/>
      <c r="G586" s="43"/>
      <c r="H586" s="43"/>
      <c r="I586" s="46"/>
      <c r="J586" s="47"/>
      <c r="K586" s="48"/>
      <c r="L586" s="49"/>
      <c r="M586" s="49"/>
      <c r="N586" s="50"/>
      <c r="O586" s="43"/>
      <c r="P586" s="43"/>
      <c r="Q586" s="44"/>
      <c r="R586" s="35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43"/>
      <c r="B587" s="40"/>
      <c r="C587" s="44"/>
      <c r="D587" s="45"/>
      <c r="E587" s="44"/>
      <c r="F587" s="43"/>
      <c r="G587" s="43"/>
      <c r="H587" s="43"/>
      <c r="I587" s="46"/>
      <c r="J587" s="47"/>
      <c r="K587" s="48"/>
      <c r="L587" s="49"/>
      <c r="M587" s="49"/>
      <c r="N587" s="50"/>
      <c r="O587" s="43"/>
      <c r="P587" s="43"/>
      <c r="Q587" s="44"/>
      <c r="R587" s="35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43"/>
      <c r="B588" s="40"/>
      <c r="C588" s="44"/>
      <c r="D588" s="45"/>
      <c r="E588" s="44"/>
      <c r="F588" s="43"/>
      <c r="G588" s="43"/>
      <c r="H588" s="43"/>
      <c r="I588" s="46"/>
      <c r="J588" s="47"/>
      <c r="K588" s="48"/>
      <c r="L588" s="49"/>
      <c r="M588" s="49"/>
      <c r="N588" s="50"/>
      <c r="O588" s="43"/>
      <c r="P588" s="43"/>
      <c r="Q588" s="44"/>
      <c r="R588" s="35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43"/>
      <c r="B589" s="40"/>
      <c r="C589" s="44"/>
      <c r="D589" s="45"/>
      <c r="E589" s="44"/>
      <c r="F589" s="43"/>
      <c r="G589" s="43"/>
      <c r="H589" s="43"/>
      <c r="I589" s="46"/>
      <c r="J589" s="47"/>
      <c r="K589" s="48"/>
      <c r="L589" s="49"/>
      <c r="M589" s="49"/>
      <c r="N589" s="50"/>
      <c r="O589" s="43"/>
      <c r="P589" s="43"/>
      <c r="Q589" s="44"/>
      <c r="R589" s="35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43"/>
      <c r="B590" s="40"/>
      <c r="C590" s="44"/>
      <c r="D590" s="45"/>
      <c r="E590" s="44"/>
      <c r="F590" s="43"/>
      <c r="G590" s="43"/>
      <c r="H590" s="43"/>
      <c r="I590" s="46"/>
      <c r="J590" s="47"/>
      <c r="K590" s="48"/>
      <c r="L590" s="49"/>
      <c r="M590" s="49"/>
      <c r="N590" s="50"/>
      <c r="O590" s="43"/>
      <c r="P590" s="43"/>
      <c r="Q590" s="44"/>
      <c r="R590" s="35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43"/>
      <c r="B591" s="40"/>
      <c r="C591" s="44"/>
      <c r="D591" s="45"/>
      <c r="E591" s="44"/>
      <c r="F591" s="43"/>
      <c r="G591" s="43"/>
      <c r="H591" s="43"/>
      <c r="I591" s="46"/>
      <c r="J591" s="47"/>
      <c r="K591" s="48"/>
      <c r="L591" s="49"/>
      <c r="M591" s="49"/>
      <c r="N591" s="50"/>
      <c r="O591" s="43"/>
      <c r="P591" s="43"/>
      <c r="Q591" s="44"/>
      <c r="R591" s="35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43"/>
      <c r="B592" s="40"/>
      <c r="C592" s="44"/>
      <c r="D592" s="45"/>
      <c r="E592" s="44"/>
      <c r="F592" s="43"/>
      <c r="G592" s="43"/>
      <c r="H592" s="43"/>
      <c r="I592" s="46"/>
      <c r="J592" s="47"/>
      <c r="K592" s="48"/>
      <c r="L592" s="49"/>
      <c r="M592" s="49"/>
      <c r="N592" s="50"/>
      <c r="O592" s="43"/>
      <c r="P592" s="43"/>
      <c r="Q592" s="44"/>
      <c r="R592" s="35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43"/>
      <c r="B593" s="40"/>
      <c r="C593" s="44"/>
      <c r="D593" s="45"/>
      <c r="E593" s="44"/>
      <c r="F593" s="43"/>
      <c r="G593" s="43"/>
      <c r="H593" s="43"/>
      <c r="I593" s="46"/>
      <c r="J593" s="47"/>
      <c r="K593" s="48"/>
      <c r="L593" s="49"/>
      <c r="M593" s="49"/>
      <c r="N593" s="50"/>
      <c r="O593" s="43"/>
      <c r="P593" s="43"/>
      <c r="Q593" s="44"/>
      <c r="R593" s="35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43"/>
      <c r="B594" s="40"/>
      <c r="C594" s="44"/>
      <c r="D594" s="45"/>
      <c r="E594" s="44"/>
      <c r="F594" s="43"/>
      <c r="G594" s="43"/>
      <c r="H594" s="43"/>
      <c r="I594" s="46"/>
      <c r="J594" s="47"/>
      <c r="K594" s="48"/>
      <c r="L594" s="49"/>
      <c r="M594" s="49"/>
      <c r="N594" s="50"/>
      <c r="O594" s="43"/>
      <c r="P594" s="43"/>
      <c r="Q594" s="44"/>
      <c r="R594" s="35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43"/>
      <c r="B595" s="40"/>
      <c r="C595" s="44"/>
      <c r="D595" s="45"/>
      <c r="E595" s="44"/>
      <c r="F595" s="43"/>
      <c r="G595" s="43"/>
      <c r="H595" s="43"/>
      <c r="I595" s="46"/>
      <c r="J595" s="47"/>
      <c r="K595" s="48"/>
      <c r="L595" s="49"/>
      <c r="M595" s="49"/>
      <c r="N595" s="50"/>
      <c r="O595" s="43"/>
      <c r="P595" s="43"/>
      <c r="Q595" s="44"/>
      <c r="R595" s="35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43"/>
      <c r="B596" s="40"/>
      <c r="C596" s="44"/>
      <c r="D596" s="45"/>
      <c r="E596" s="44"/>
      <c r="F596" s="43"/>
      <c r="G596" s="43"/>
      <c r="H596" s="43"/>
      <c r="I596" s="46"/>
      <c r="J596" s="47"/>
      <c r="K596" s="48"/>
      <c r="L596" s="49"/>
      <c r="M596" s="49"/>
      <c r="N596" s="50"/>
      <c r="O596" s="43"/>
      <c r="P596" s="43"/>
      <c r="Q596" s="44"/>
      <c r="R596" s="35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43"/>
      <c r="B597" s="40"/>
      <c r="C597" s="44"/>
      <c r="D597" s="45"/>
      <c r="E597" s="44"/>
      <c r="F597" s="43"/>
      <c r="G597" s="43"/>
      <c r="H597" s="43"/>
      <c r="I597" s="46"/>
      <c r="J597" s="47"/>
      <c r="K597" s="48"/>
      <c r="L597" s="49"/>
      <c r="M597" s="49"/>
      <c r="N597" s="50"/>
      <c r="O597" s="43"/>
      <c r="P597" s="43"/>
      <c r="Q597" s="44"/>
      <c r="R597" s="35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43"/>
      <c r="B598" s="40"/>
      <c r="C598" s="44"/>
      <c r="D598" s="45"/>
      <c r="E598" s="44"/>
      <c r="F598" s="43"/>
      <c r="G598" s="43"/>
      <c r="H598" s="43"/>
      <c r="I598" s="46"/>
      <c r="J598" s="47"/>
      <c r="K598" s="48"/>
      <c r="L598" s="49"/>
      <c r="M598" s="49"/>
      <c r="N598" s="50"/>
      <c r="O598" s="43"/>
      <c r="P598" s="43"/>
      <c r="Q598" s="44"/>
      <c r="R598" s="35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43"/>
      <c r="B599" s="40"/>
      <c r="C599" s="44"/>
      <c r="D599" s="45"/>
      <c r="E599" s="44"/>
      <c r="F599" s="43"/>
      <c r="G599" s="43"/>
      <c r="H599" s="43"/>
      <c r="I599" s="46"/>
      <c r="J599" s="47"/>
      <c r="K599" s="48"/>
      <c r="L599" s="49"/>
      <c r="M599" s="49"/>
      <c r="N599" s="50"/>
      <c r="O599" s="43"/>
      <c r="P599" s="43"/>
      <c r="Q599" s="44"/>
      <c r="R599" s="35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43"/>
      <c r="B600" s="40"/>
      <c r="C600" s="44"/>
      <c r="D600" s="45"/>
      <c r="E600" s="44"/>
      <c r="F600" s="43"/>
      <c r="G600" s="43"/>
      <c r="H600" s="43"/>
      <c r="I600" s="46"/>
      <c r="J600" s="47"/>
      <c r="K600" s="48"/>
      <c r="L600" s="49"/>
      <c r="M600" s="49"/>
      <c r="N600" s="50"/>
      <c r="O600" s="43"/>
      <c r="P600" s="43"/>
      <c r="Q600" s="44"/>
      <c r="R600" s="35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43"/>
      <c r="B601" s="40"/>
      <c r="C601" s="44"/>
      <c r="D601" s="45"/>
      <c r="E601" s="44"/>
      <c r="F601" s="43"/>
      <c r="G601" s="43"/>
      <c r="H601" s="43"/>
      <c r="I601" s="46"/>
      <c r="J601" s="47"/>
      <c r="K601" s="48"/>
      <c r="L601" s="49"/>
      <c r="M601" s="49"/>
      <c r="N601" s="50"/>
      <c r="O601" s="43"/>
      <c r="P601" s="43"/>
      <c r="Q601" s="44"/>
      <c r="R601" s="35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43"/>
      <c r="B602" s="40"/>
      <c r="C602" s="44"/>
      <c r="D602" s="45"/>
      <c r="E602" s="44"/>
      <c r="F602" s="43"/>
      <c r="G602" s="43"/>
      <c r="H602" s="43"/>
      <c r="I602" s="46"/>
      <c r="J602" s="47"/>
      <c r="K602" s="48"/>
      <c r="L602" s="49"/>
      <c r="M602" s="49"/>
      <c r="N602" s="50"/>
      <c r="O602" s="43"/>
      <c r="P602" s="43"/>
      <c r="Q602" s="44"/>
      <c r="R602" s="35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43"/>
      <c r="B603" s="40"/>
      <c r="C603" s="44"/>
      <c r="D603" s="45"/>
      <c r="E603" s="44"/>
      <c r="F603" s="43"/>
      <c r="G603" s="43"/>
      <c r="H603" s="43"/>
      <c r="I603" s="46"/>
      <c r="J603" s="47"/>
      <c r="K603" s="48"/>
      <c r="L603" s="49"/>
      <c r="M603" s="49"/>
      <c r="N603" s="50"/>
      <c r="O603" s="43"/>
      <c r="P603" s="43"/>
      <c r="Q603" s="44"/>
      <c r="R603" s="35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43"/>
      <c r="B604" s="40"/>
      <c r="C604" s="44"/>
      <c r="D604" s="45"/>
      <c r="E604" s="44"/>
      <c r="F604" s="43"/>
      <c r="G604" s="43"/>
      <c r="H604" s="43"/>
      <c r="I604" s="46"/>
      <c r="J604" s="47"/>
      <c r="K604" s="48"/>
      <c r="L604" s="49"/>
      <c r="M604" s="49"/>
      <c r="N604" s="50"/>
      <c r="O604" s="43"/>
      <c r="P604" s="43"/>
      <c r="Q604" s="44"/>
      <c r="R604" s="35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43"/>
      <c r="B605" s="40"/>
      <c r="C605" s="44"/>
      <c r="D605" s="45"/>
      <c r="E605" s="44"/>
      <c r="F605" s="43"/>
      <c r="G605" s="43"/>
      <c r="H605" s="43"/>
      <c r="I605" s="46"/>
      <c r="J605" s="47"/>
      <c r="K605" s="48"/>
      <c r="L605" s="49"/>
      <c r="M605" s="49"/>
      <c r="N605" s="50"/>
      <c r="O605" s="43"/>
      <c r="P605" s="43"/>
      <c r="Q605" s="44"/>
      <c r="R605" s="35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43"/>
      <c r="B606" s="40"/>
      <c r="C606" s="44"/>
      <c r="D606" s="45"/>
      <c r="E606" s="44"/>
      <c r="F606" s="43"/>
      <c r="G606" s="43"/>
      <c r="H606" s="43"/>
      <c r="I606" s="46"/>
      <c r="J606" s="47"/>
      <c r="K606" s="48"/>
      <c r="L606" s="49"/>
      <c r="M606" s="49"/>
      <c r="N606" s="50"/>
      <c r="O606" s="43"/>
      <c r="P606" s="43"/>
      <c r="Q606" s="44"/>
      <c r="R606" s="35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43"/>
      <c r="B607" s="40"/>
      <c r="C607" s="44"/>
      <c r="D607" s="45"/>
      <c r="E607" s="44"/>
      <c r="F607" s="43"/>
      <c r="G607" s="43"/>
      <c r="H607" s="43"/>
      <c r="I607" s="46"/>
      <c r="J607" s="47"/>
      <c r="K607" s="48"/>
      <c r="L607" s="49"/>
      <c r="M607" s="49"/>
      <c r="N607" s="50"/>
      <c r="O607" s="43"/>
      <c r="P607" s="43"/>
      <c r="Q607" s="44"/>
      <c r="R607" s="35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43"/>
      <c r="B608" s="40"/>
      <c r="C608" s="44"/>
      <c r="D608" s="45"/>
      <c r="E608" s="44"/>
      <c r="F608" s="43"/>
      <c r="G608" s="43"/>
      <c r="H608" s="43"/>
      <c r="I608" s="46"/>
      <c r="J608" s="47"/>
      <c r="K608" s="48"/>
      <c r="L608" s="49"/>
      <c r="M608" s="49"/>
      <c r="N608" s="50"/>
      <c r="O608" s="43"/>
      <c r="P608" s="43"/>
      <c r="Q608" s="44"/>
      <c r="R608" s="35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43"/>
      <c r="B609" s="40"/>
      <c r="C609" s="44"/>
      <c r="D609" s="45"/>
      <c r="E609" s="44"/>
      <c r="F609" s="43"/>
      <c r="G609" s="43"/>
      <c r="H609" s="43"/>
      <c r="I609" s="46"/>
      <c r="J609" s="47"/>
      <c r="K609" s="48"/>
      <c r="L609" s="49"/>
      <c r="M609" s="49"/>
      <c r="N609" s="50"/>
      <c r="O609" s="43"/>
      <c r="P609" s="43"/>
      <c r="Q609" s="44"/>
      <c r="R609" s="35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43"/>
      <c r="B610" s="40"/>
      <c r="C610" s="44"/>
      <c r="D610" s="45"/>
      <c r="E610" s="44"/>
      <c r="F610" s="43"/>
      <c r="G610" s="43"/>
      <c r="H610" s="43"/>
      <c r="I610" s="46"/>
      <c r="J610" s="47"/>
      <c r="K610" s="48"/>
      <c r="L610" s="49"/>
      <c r="M610" s="49"/>
      <c r="N610" s="50"/>
      <c r="O610" s="43"/>
      <c r="P610" s="43"/>
      <c r="Q610" s="44"/>
      <c r="R610" s="35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43"/>
      <c r="B611" s="40"/>
      <c r="C611" s="44"/>
      <c r="D611" s="45"/>
      <c r="E611" s="44"/>
      <c r="F611" s="43"/>
      <c r="G611" s="43"/>
      <c r="H611" s="43"/>
      <c r="I611" s="46"/>
      <c r="J611" s="47"/>
      <c r="K611" s="48"/>
      <c r="L611" s="49"/>
      <c r="M611" s="49"/>
      <c r="N611" s="50"/>
      <c r="O611" s="43"/>
      <c r="P611" s="43"/>
      <c r="Q611" s="44"/>
      <c r="R611" s="35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43"/>
      <c r="B612" s="40"/>
      <c r="C612" s="44"/>
      <c r="D612" s="45"/>
      <c r="E612" s="44"/>
      <c r="F612" s="43"/>
      <c r="G612" s="43"/>
      <c r="H612" s="43"/>
      <c r="I612" s="46"/>
      <c r="J612" s="47"/>
      <c r="K612" s="48"/>
      <c r="L612" s="49"/>
      <c r="M612" s="49"/>
      <c r="N612" s="50"/>
      <c r="O612" s="43"/>
      <c r="P612" s="43"/>
      <c r="Q612" s="44"/>
      <c r="R612" s="35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43"/>
      <c r="B613" s="40"/>
      <c r="C613" s="44"/>
      <c r="D613" s="45"/>
      <c r="E613" s="44"/>
      <c r="F613" s="43"/>
      <c r="G613" s="43"/>
      <c r="H613" s="43"/>
      <c r="I613" s="46"/>
      <c r="J613" s="47"/>
      <c r="K613" s="48"/>
      <c r="L613" s="49"/>
      <c r="M613" s="49"/>
      <c r="N613" s="50"/>
      <c r="O613" s="43"/>
      <c r="P613" s="43"/>
      <c r="Q613" s="44"/>
      <c r="R613" s="35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43"/>
      <c r="B614" s="40"/>
      <c r="C614" s="44"/>
      <c r="D614" s="45"/>
      <c r="E614" s="44"/>
      <c r="F614" s="43"/>
      <c r="G614" s="43"/>
      <c r="H614" s="43"/>
      <c r="I614" s="46"/>
      <c r="J614" s="47"/>
      <c r="K614" s="48"/>
      <c r="L614" s="49"/>
      <c r="M614" s="49"/>
      <c r="N614" s="50"/>
      <c r="O614" s="43"/>
      <c r="P614" s="43"/>
      <c r="Q614" s="44"/>
      <c r="R614" s="35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43"/>
      <c r="B615" s="40"/>
      <c r="C615" s="44"/>
      <c r="D615" s="45"/>
      <c r="E615" s="44"/>
      <c r="F615" s="43"/>
      <c r="G615" s="43"/>
      <c r="H615" s="43"/>
      <c r="I615" s="46"/>
      <c r="J615" s="47"/>
      <c r="K615" s="48"/>
      <c r="L615" s="49"/>
      <c r="M615" s="49"/>
      <c r="N615" s="50"/>
      <c r="O615" s="43"/>
      <c r="P615" s="43"/>
      <c r="Q615" s="44"/>
      <c r="R615" s="35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43"/>
      <c r="B616" s="40"/>
      <c r="C616" s="44"/>
      <c r="D616" s="45"/>
      <c r="E616" s="44"/>
      <c r="F616" s="43"/>
      <c r="G616" s="43"/>
      <c r="H616" s="43"/>
      <c r="I616" s="46"/>
      <c r="J616" s="47"/>
      <c r="K616" s="48"/>
      <c r="L616" s="49"/>
      <c r="M616" s="49"/>
      <c r="N616" s="50"/>
      <c r="O616" s="43"/>
      <c r="P616" s="43"/>
      <c r="Q616" s="44"/>
      <c r="R616" s="35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43"/>
      <c r="B617" s="40"/>
      <c r="C617" s="44"/>
      <c r="D617" s="45"/>
      <c r="E617" s="44"/>
      <c r="F617" s="43"/>
      <c r="G617" s="43"/>
      <c r="H617" s="43"/>
      <c r="I617" s="46"/>
      <c r="J617" s="47"/>
      <c r="K617" s="48"/>
      <c r="L617" s="49"/>
      <c r="M617" s="49"/>
      <c r="N617" s="50"/>
      <c r="O617" s="43"/>
      <c r="P617" s="43"/>
      <c r="Q617" s="44"/>
      <c r="R617" s="35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43"/>
      <c r="B618" s="40"/>
      <c r="C618" s="44"/>
      <c r="D618" s="45"/>
      <c r="E618" s="44"/>
      <c r="F618" s="43"/>
      <c r="G618" s="43"/>
      <c r="H618" s="43"/>
      <c r="I618" s="46"/>
      <c r="J618" s="47"/>
      <c r="K618" s="48"/>
      <c r="L618" s="49"/>
      <c r="M618" s="49"/>
      <c r="N618" s="50"/>
      <c r="O618" s="43"/>
      <c r="P618" s="43"/>
      <c r="Q618" s="44"/>
      <c r="R618" s="35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43"/>
      <c r="B619" s="40"/>
      <c r="C619" s="44"/>
      <c r="D619" s="45"/>
      <c r="E619" s="44"/>
      <c r="F619" s="43"/>
      <c r="G619" s="43"/>
      <c r="H619" s="43"/>
      <c r="I619" s="46"/>
      <c r="J619" s="47"/>
      <c r="K619" s="48"/>
      <c r="L619" s="49"/>
      <c r="M619" s="49"/>
      <c r="N619" s="50"/>
      <c r="O619" s="43"/>
      <c r="P619" s="43"/>
      <c r="Q619" s="44"/>
      <c r="R619" s="35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43"/>
      <c r="B620" s="40"/>
      <c r="C620" s="44"/>
      <c r="D620" s="45"/>
      <c r="E620" s="44"/>
      <c r="F620" s="43"/>
      <c r="G620" s="43"/>
      <c r="H620" s="43"/>
      <c r="I620" s="46"/>
      <c r="J620" s="47"/>
      <c r="K620" s="48"/>
      <c r="L620" s="49"/>
      <c r="M620" s="49"/>
      <c r="N620" s="50"/>
      <c r="O620" s="43"/>
      <c r="P620" s="43"/>
      <c r="Q620" s="44"/>
      <c r="R620" s="35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43"/>
      <c r="B621" s="40"/>
      <c r="C621" s="44"/>
      <c r="D621" s="45"/>
      <c r="E621" s="44"/>
      <c r="F621" s="43"/>
      <c r="G621" s="43"/>
      <c r="H621" s="43"/>
      <c r="I621" s="46"/>
      <c r="J621" s="47"/>
      <c r="K621" s="48"/>
      <c r="L621" s="49"/>
      <c r="M621" s="49"/>
      <c r="N621" s="50"/>
      <c r="O621" s="43"/>
      <c r="P621" s="43"/>
      <c r="Q621" s="44"/>
      <c r="R621" s="35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43"/>
      <c r="B622" s="40"/>
      <c r="C622" s="44"/>
      <c r="D622" s="45"/>
      <c r="E622" s="44"/>
      <c r="F622" s="43"/>
      <c r="G622" s="43"/>
      <c r="H622" s="43"/>
      <c r="I622" s="46"/>
      <c r="J622" s="47"/>
      <c r="K622" s="48"/>
      <c r="L622" s="49"/>
      <c r="M622" s="49"/>
      <c r="N622" s="50"/>
      <c r="O622" s="43"/>
      <c r="P622" s="43"/>
      <c r="Q622" s="44"/>
      <c r="R622" s="35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43"/>
      <c r="B623" s="40"/>
      <c r="C623" s="44"/>
      <c r="D623" s="45"/>
      <c r="E623" s="44"/>
      <c r="F623" s="43"/>
      <c r="G623" s="43"/>
      <c r="H623" s="43"/>
      <c r="I623" s="46"/>
      <c r="J623" s="47"/>
      <c r="K623" s="48"/>
      <c r="L623" s="49"/>
      <c r="M623" s="49"/>
      <c r="N623" s="50"/>
      <c r="O623" s="43"/>
      <c r="P623" s="43"/>
      <c r="Q623" s="44"/>
      <c r="R623" s="35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43"/>
      <c r="B624" s="40"/>
      <c r="C624" s="44"/>
      <c r="D624" s="45"/>
      <c r="E624" s="44"/>
      <c r="F624" s="43"/>
      <c r="G624" s="43"/>
      <c r="H624" s="43"/>
      <c r="I624" s="46"/>
      <c r="J624" s="47"/>
      <c r="K624" s="48"/>
      <c r="L624" s="49"/>
      <c r="M624" s="49"/>
      <c r="N624" s="50"/>
      <c r="O624" s="43"/>
      <c r="P624" s="43"/>
      <c r="Q624" s="44"/>
      <c r="R624" s="35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43"/>
      <c r="B625" s="40"/>
      <c r="C625" s="44"/>
      <c r="D625" s="45"/>
      <c r="E625" s="44"/>
      <c r="F625" s="43"/>
      <c r="G625" s="43"/>
      <c r="H625" s="43"/>
      <c r="I625" s="46"/>
      <c r="J625" s="47"/>
      <c r="K625" s="48"/>
      <c r="L625" s="49"/>
      <c r="M625" s="49"/>
      <c r="N625" s="50"/>
      <c r="O625" s="43"/>
      <c r="P625" s="43"/>
      <c r="Q625" s="44"/>
      <c r="R625" s="35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43"/>
      <c r="B626" s="40"/>
      <c r="C626" s="44"/>
      <c r="D626" s="45"/>
      <c r="E626" s="44"/>
      <c r="F626" s="43"/>
      <c r="G626" s="43"/>
      <c r="H626" s="43"/>
      <c r="I626" s="46"/>
      <c r="J626" s="47"/>
      <c r="K626" s="48"/>
      <c r="L626" s="49"/>
      <c r="M626" s="49"/>
      <c r="N626" s="50"/>
      <c r="O626" s="43"/>
      <c r="P626" s="43"/>
      <c r="Q626" s="44"/>
      <c r="R626" s="35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43"/>
      <c r="B627" s="40"/>
      <c r="C627" s="44"/>
      <c r="D627" s="45"/>
      <c r="E627" s="44"/>
      <c r="F627" s="43"/>
      <c r="G627" s="43"/>
      <c r="H627" s="43"/>
      <c r="I627" s="46"/>
      <c r="J627" s="47"/>
      <c r="K627" s="48"/>
      <c r="L627" s="49"/>
      <c r="M627" s="49"/>
      <c r="N627" s="50"/>
      <c r="O627" s="43"/>
      <c r="P627" s="43"/>
      <c r="Q627" s="44"/>
      <c r="R627" s="35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43"/>
      <c r="B628" s="40"/>
      <c r="C628" s="44"/>
      <c r="D628" s="45"/>
      <c r="E628" s="44"/>
      <c r="F628" s="43"/>
      <c r="G628" s="43"/>
      <c r="H628" s="43"/>
      <c r="I628" s="46"/>
      <c r="J628" s="47"/>
      <c r="K628" s="48"/>
      <c r="L628" s="49"/>
      <c r="M628" s="49"/>
      <c r="N628" s="50"/>
      <c r="O628" s="43"/>
      <c r="P628" s="43"/>
      <c r="Q628" s="44"/>
      <c r="R628" s="35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43"/>
      <c r="B629" s="40"/>
      <c r="C629" s="44"/>
      <c r="D629" s="45"/>
      <c r="E629" s="44"/>
      <c r="F629" s="43"/>
      <c r="G629" s="43"/>
      <c r="H629" s="43"/>
      <c r="I629" s="46"/>
      <c r="J629" s="47"/>
      <c r="K629" s="48"/>
      <c r="L629" s="49"/>
      <c r="M629" s="49"/>
      <c r="N629" s="50"/>
      <c r="O629" s="43"/>
      <c r="P629" s="43"/>
      <c r="Q629" s="44"/>
      <c r="R629" s="35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43"/>
      <c r="B630" s="40"/>
      <c r="C630" s="44"/>
      <c r="D630" s="45"/>
      <c r="E630" s="44"/>
      <c r="F630" s="43"/>
      <c r="G630" s="43"/>
      <c r="H630" s="43"/>
      <c r="I630" s="46"/>
      <c r="J630" s="47"/>
      <c r="K630" s="48"/>
      <c r="L630" s="49"/>
      <c r="M630" s="49"/>
      <c r="N630" s="50"/>
      <c r="O630" s="43"/>
      <c r="P630" s="43"/>
      <c r="Q630" s="44"/>
      <c r="R630" s="35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43"/>
      <c r="B631" s="40"/>
      <c r="C631" s="44"/>
      <c r="D631" s="45"/>
      <c r="E631" s="44"/>
      <c r="F631" s="43"/>
      <c r="G631" s="43"/>
      <c r="H631" s="43"/>
      <c r="I631" s="46"/>
      <c r="J631" s="47"/>
      <c r="K631" s="48"/>
      <c r="L631" s="49"/>
      <c r="M631" s="49"/>
      <c r="N631" s="50"/>
      <c r="O631" s="43"/>
      <c r="P631" s="43"/>
      <c r="Q631" s="44"/>
      <c r="R631" s="35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43"/>
      <c r="B632" s="40"/>
      <c r="C632" s="44"/>
      <c r="D632" s="45"/>
      <c r="E632" s="44"/>
      <c r="F632" s="43"/>
      <c r="G632" s="43"/>
      <c r="H632" s="43"/>
      <c r="I632" s="46"/>
      <c r="J632" s="47"/>
      <c r="K632" s="48"/>
      <c r="L632" s="49"/>
      <c r="M632" s="49"/>
      <c r="N632" s="50"/>
      <c r="O632" s="43"/>
      <c r="P632" s="43"/>
      <c r="Q632" s="44"/>
      <c r="R632" s="35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43"/>
      <c r="B633" s="40"/>
      <c r="C633" s="44"/>
      <c r="D633" s="45"/>
      <c r="E633" s="44"/>
      <c r="F633" s="43"/>
      <c r="G633" s="43"/>
      <c r="H633" s="43"/>
      <c r="I633" s="46"/>
      <c r="J633" s="47"/>
      <c r="K633" s="48"/>
      <c r="L633" s="49"/>
      <c r="M633" s="49"/>
      <c r="N633" s="50"/>
      <c r="O633" s="43"/>
      <c r="P633" s="43"/>
      <c r="Q633" s="44"/>
      <c r="R633" s="35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43"/>
      <c r="B634" s="40"/>
      <c r="C634" s="44"/>
      <c r="D634" s="45"/>
      <c r="E634" s="44"/>
      <c r="F634" s="43"/>
      <c r="G634" s="43"/>
      <c r="H634" s="43"/>
      <c r="I634" s="46"/>
      <c r="J634" s="47"/>
      <c r="K634" s="48"/>
      <c r="L634" s="49"/>
      <c r="M634" s="49"/>
      <c r="N634" s="50"/>
      <c r="O634" s="43"/>
      <c r="P634" s="43"/>
      <c r="Q634" s="44"/>
      <c r="R634" s="35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43"/>
      <c r="B635" s="40"/>
      <c r="C635" s="44"/>
      <c r="D635" s="45"/>
      <c r="E635" s="44"/>
      <c r="F635" s="43"/>
      <c r="G635" s="43"/>
      <c r="H635" s="43"/>
      <c r="I635" s="46"/>
      <c r="J635" s="47"/>
      <c r="K635" s="48"/>
      <c r="L635" s="49"/>
      <c r="M635" s="49"/>
      <c r="N635" s="50"/>
      <c r="O635" s="43"/>
      <c r="P635" s="43"/>
      <c r="Q635" s="44"/>
      <c r="R635" s="35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43"/>
      <c r="B636" s="40"/>
      <c r="C636" s="44"/>
      <c r="D636" s="45"/>
      <c r="E636" s="44"/>
      <c r="F636" s="43"/>
      <c r="G636" s="43"/>
      <c r="H636" s="43"/>
      <c r="I636" s="46"/>
      <c r="J636" s="47"/>
      <c r="K636" s="48"/>
      <c r="L636" s="49"/>
      <c r="M636" s="49"/>
      <c r="N636" s="50"/>
      <c r="O636" s="43"/>
      <c r="P636" s="43"/>
      <c r="Q636" s="44"/>
      <c r="R636" s="35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43"/>
      <c r="B637" s="40"/>
      <c r="C637" s="44"/>
      <c r="D637" s="45"/>
      <c r="E637" s="44"/>
      <c r="F637" s="43"/>
      <c r="G637" s="43"/>
      <c r="H637" s="43"/>
      <c r="I637" s="46"/>
      <c r="J637" s="47"/>
      <c r="K637" s="48"/>
      <c r="L637" s="49"/>
      <c r="M637" s="49"/>
      <c r="N637" s="50"/>
      <c r="O637" s="43"/>
      <c r="P637" s="43"/>
      <c r="Q637" s="44"/>
      <c r="R637" s="35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43"/>
      <c r="B638" s="40"/>
      <c r="C638" s="44"/>
      <c r="D638" s="45"/>
      <c r="E638" s="44"/>
      <c r="F638" s="43"/>
      <c r="G638" s="43"/>
      <c r="H638" s="43"/>
      <c r="I638" s="46"/>
      <c r="J638" s="47"/>
      <c r="K638" s="48"/>
      <c r="L638" s="49"/>
      <c r="M638" s="49"/>
      <c r="N638" s="50"/>
      <c r="O638" s="43"/>
      <c r="P638" s="43"/>
      <c r="Q638" s="44"/>
      <c r="R638" s="35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43"/>
      <c r="B639" s="40"/>
      <c r="C639" s="44"/>
      <c r="D639" s="45"/>
      <c r="E639" s="44"/>
      <c r="F639" s="43"/>
      <c r="G639" s="43"/>
      <c r="H639" s="43"/>
      <c r="I639" s="46"/>
      <c r="J639" s="47"/>
      <c r="K639" s="48"/>
      <c r="L639" s="49"/>
      <c r="M639" s="49"/>
      <c r="N639" s="50"/>
      <c r="O639" s="43"/>
      <c r="P639" s="43"/>
      <c r="Q639" s="44"/>
      <c r="R639" s="35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43"/>
      <c r="B640" s="40"/>
      <c r="C640" s="44"/>
      <c r="D640" s="45"/>
      <c r="E640" s="44"/>
      <c r="F640" s="43"/>
      <c r="G640" s="43"/>
      <c r="H640" s="43"/>
      <c r="I640" s="46"/>
      <c r="J640" s="47"/>
      <c r="K640" s="48"/>
      <c r="L640" s="49"/>
      <c r="M640" s="49"/>
      <c r="N640" s="50"/>
      <c r="O640" s="43"/>
      <c r="P640" s="43"/>
      <c r="Q640" s="44"/>
      <c r="R640" s="35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43"/>
      <c r="B641" s="40"/>
      <c r="C641" s="44"/>
      <c r="D641" s="45"/>
      <c r="E641" s="44"/>
      <c r="F641" s="43"/>
      <c r="G641" s="43"/>
      <c r="H641" s="43"/>
      <c r="I641" s="46"/>
      <c r="J641" s="47"/>
      <c r="K641" s="48"/>
      <c r="L641" s="49"/>
      <c r="M641" s="49"/>
      <c r="N641" s="50"/>
      <c r="O641" s="43"/>
      <c r="P641" s="43"/>
      <c r="Q641" s="44"/>
      <c r="R641" s="35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43"/>
      <c r="B642" s="40"/>
      <c r="C642" s="44"/>
      <c r="D642" s="45"/>
      <c r="E642" s="44"/>
      <c r="F642" s="43"/>
      <c r="G642" s="43"/>
      <c r="H642" s="43"/>
      <c r="I642" s="46"/>
      <c r="J642" s="47"/>
      <c r="K642" s="48"/>
      <c r="L642" s="49"/>
      <c r="M642" s="49"/>
      <c r="N642" s="50"/>
      <c r="O642" s="43"/>
      <c r="P642" s="43"/>
      <c r="Q642" s="44"/>
      <c r="R642" s="35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43"/>
      <c r="B643" s="40"/>
      <c r="C643" s="44"/>
      <c r="D643" s="45"/>
      <c r="E643" s="44"/>
      <c r="F643" s="43"/>
      <c r="G643" s="43"/>
      <c r="H643" s="43"/>
      <c r="I643" s="46"/>
      <c r="J643" s="47"/>
      <c r="K643" s="48"/>
      <c r="L643" s="49"/>
      <c r="M643" s="49"/>
      <c r="N643" s="50"/>
      <c r="O643" s="43"/>
      <c r="P643" s="43"/>
      <c r="Q643" s="44"/>
      <c r="R643" s="35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43"/>
      <c r="B644" s="40"/>
      <c r="C644" s="44"/>
      <c r="D644" s="45"/>
      <c r="E644" s="44"/>
      <c r="F644" s="43"/>
      <c r="G644" s="43"/>
      <c r="H644" s="43"/>
      <c r="I644" s="46"/>
      <c r="J644" s="47"/>
      <c r="K644" s="48"/>
      <c r="L644" s="49"/>
      <c r="M644" s="49"/>
      <c r="N644" s="50"/>
      <c r="O644" s="43"/>
      <c r="P644" s="43"/>
      <c r="Q644" s="44"/>
      <c r="R644" s="35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43"/>
      <c r="B645" s="40"/>
      <c r="C645" s="44"/>
      <c r="D645" s="45"/>
      <c r="E645" s="44"/>
      <c r="F645" s="43"/>
      <c r="G645" s="43"/>
      <c r="H645" s="43"/>
      <c r="I645" s="46"/>
      <c r="J645" s="47"/>
      <c r="K645" s="48"/>
      <c r="L645" s="49"/>
      <c r="M645" s="49"/>
      <c r="N645" s="50"/>
      <c r="O645" s="43"/>
      <c r="P645" s="43"/>
      <c r="Q645" s="44"/>
      <c r="R645" s="35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43"/>
      <c r="B646" s="40"/>
      <c r="C646" s="44"/>
      <c r="D646" s="45"/>
      <c r="E646" s="44"/>
      <c r="F646" s="43"/>
      <c r="G646" s="43"/>
      <c r="H646" s="43"/>
      <c r="I646" s="46"/>
      <c r="J646" s="47"/>
      <c r="K646" s="48"/>
      <c r="L646" s="49"/>
      <c r="M646" s="49"/>
      <c r="N646" s="50"/>
      <c r="O646" s="43"/>
      <c r="P646" s="43"/>
      <c r="Q646" s="44"/>
      <c r="R646" s="35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43"/>
      <c r="B647" s="40"/>
      <c r="C647" s="44"/>
      <c r="D647" s="45"/>
      <c r="E647" s="44"/>
      <c r="F647" s="43"/>
      <c r="G647" s="43"/>
      <c r="H647" s="43"/>
      <c r="I647" s="46"/>
      <c r="J647" s="47"/>
      <c r="K647" s="48"/>
      <c r="L647" s="49"/>
      <c r="M647" s="49"/>
      <c r="N647" s="50"/>
      <c r="O647" s="43"/>
      <c r="P647" s="43"/>
      <c r="Q647" s="44"/>
      <c r="R647" s="35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43"/>
      <c r="B648" s="40"/>
      <c r="C648" s="44"/>
      <c r="D648" s="45"/>
      <c r="E648" s="44"/>
      <c r="F648" s="43"/>
      <c r="G648" s="43"/>
      <c r="H648" s="43"/>
      <c r="I648" s="46"/>
      <c r="J648" s="47"/>
      <c r="K648" s="48"/>
      <c r="L648" s="49"/>
      <c r="M648" s="49"/>
      <c r="N648" s="50"/>
      <c r="O648" s="43"/>
      <c r="P648" s="43"/>
      <c r="Q648" s="44"/>
      <c r="R648" s="35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43"/>
      <c r="B649" s="40"/>
      <c r="C649" s="44"/>
      <c r="D649" s="45"/>
      <c r="E649" s="44"/>
      <c r="F649" s="43"/>
      <c r="G649" s="43"/>
      <c r="H649" s="43"/>
      <c r="I649" s="46"/>
      <c r="J649" s="47"/>
      <c r="K649" s="48"/>
      <c r="L649" s="49"/>
      <c r="M649" s="49"/>
      <c r="N649" s="50"/>
      <c r="O649" s="43"/>
      <c r="P649" s="43"/>
      <c r="Q649" s="44"/>
      <c r="R649" s="35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43"/>
      <c r="B650" s="40"/>
      <c r="C650" s="44"/>
      <c r="D650" s="45"/>
      <c r="E650" s="44"/>
      <c r="F650" s="43"/>
      <c r="G650" s="43"/>
      <c r="H650" s="43"/>
      <c r="I650" s="46"/>
      <c r="J650" s="47"/>
      <c r="K650" s="48"/>
      <c r="L650" s="49"/>
      <c r="M650" s="49"/>
      <c r="N650" s="50"/>
      <c r="O650" s="43"/>
      <c r="P650" s="43"/>
      <c r="Q650" s="44"/>
      <c r="R650" s="35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43"/>
      <c r="B651" s="40"/>
      <c r="C651" s="44"/>
      <c r="D651" s="45"/>
      <c r="E651" s="44"/>
      <c r="F651" s="43"/>
      <c r="G651" s="43"/>
      <c r="H651" s="43"/>
      <c r="I651" s="46"/>
      <c r="J651" s="47"/>
      <c r="K651" s="48"/>
      <c r="L651" s="49"/>
      <c r="M651" s="49"/>
      <c r="N651" s="50"/>
      <c r="O651" s="43"/>
      <c r="P651" s="43"/>
      <c r="Q651" s="44"/>
      <c r="R651" s="35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43"/>
      <c r="B652" s="40"/>
      <c r="C652" s="44"/>
      <c r="D652" s="45"/>
      <c r="E652" s="44"/>
      <c r="F652" s="43"/>
      <c r="G652" s="43"/>
      <c r="H652" s="43"/>
      <c r="I652" s="46"/>
      <c r="J652" s="47"/>
      <c r="K652" s="48"/>
      <c r="L652" s="49"/>
      <c r="M652" s="49"/>
      <c r="N652" s="50"/>
      <c r="O652" s="43"/>
      <c r="P652" s="43"/>
      <c r="Q652" s="44"/>
      <c r="R652" s="35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43"/>
      <c r="B653" s="40"/>
      <c r="C653" s="44"/>
      <c r="D653" s="45"/>
      <c r="E653" s="44"/>
      <c r="F653" s="43"/>
      <c r="G653" s="43"/>
      <c r="H653" s="43"/>
      <c r="I653" s="46"/>
      <c r="J653" s="47"/>
      <c r="K653" s="48"/>
      <c r="L653" s="49"/>
      <c r="M653" s="49"/>
      <c r="N653" s="50"/>
      <c r="O653" s="43"/>
      <c r="P653" s="43"/>
      <c r="Q653" s="44"/>
      <c r="R653" s="35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43"/>
      <c r="B654" s="40"/>
      <c r="C654" s="44"/>
      <c r="D654" s="45"/>
      <c r="E654" s="44"/>
      <c r="F654" s="43"/>
      <c r="G654" s="43"/>
      <c r="H654" s="43"/>
      <c r="I654" s="46"/>
      <c r="J654" s="47"/>
      <c r="K654" s="48"/>
      <c r="L654" s="49"/>
      <c r="M654" s="49"/>
      <c r="N654" s="50"/>
      <c r="O654" s="43"/>
      <c r="P654" s="43"/>
      <c r="Q654" s="44"/>
      <c r="R654" s="35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43"/>
      <c r="B655" s="40"/>
      <c r="C655" s="44"/>
      <c r="D655" s="45"/>
      <c r="E655" s="44"/>
      <c r="F655" s="43"/>
      <c r="G655" s="43"/>
      <c r="H655" s="43"/>
      <c r="I655" s="46"/>
      <c r="J655" s="47"/>
      <c r="K655" s="48"/>
      <c r="L655" s="49"/>
      <c r="M655" s="49"/>
      <c r="N655" s="50"/>
      <c r="O655" s="43"/>
      <c r="P655" s="43"/>
      <c r="Q655" s="44"/>
      <c r="R655" s="35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43"/>
      <c r="B656" s="40"/>
      <c r="C656" s="44"/>
      <c r="D656" s="45"/>
      <c r="E656" s="44"/>
      <c r="F656" s="43"/>
      <c r="G656" s="43"/>
      <c r="H656" s="43"/>
      <c r="I656" s="46"/>
      <c r="J656" s="47"/>
      <c r="K656" s="48"/>
      <c r="L656" s="49"/>
      <c r="M656" s="49"/>
      <c r="N656" s="50"/>
      <c r="O656" s="43"/>
      <c r="P656" s="43"/>
      <c r="Q656" s="44"/>
      <c r="R656" s="35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43"/>
      <c r="B657" s="40"/>
      <c r="C657" s="44"/>
      <c r="D657" s="45"/>
      <c r="E657" s="44"/>
      <c r="F657" s="43"/>
      <c r="G657" s="43"/>
      <c r="H657" s="43"/>
      <c r="I657" s="46"/>
      <c r="J657" s="47"/>
      <c r="K657" s="48"/>
      <c r="L657" s="49"/>
      <c r="M657" s="49"/>
      <c r="N657" s="50"/>
      <c r="O657" s="43"/>
      <c r="P657" s="43"/>
      <c r="Q657" s="44"/>
      <c r="R657" s="35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43"/>
      <c r="B658" s="40"/>
      <c r="C658" s="44"/>
      <c r="D658" s="45"/>
      <c r="E658" s="44"/>
      <c r="F658" s="43"/>
      <c r="G658" s="43"/>
      <c r="H658" s="43"/>
      <c r="I658" s="46"/>
      <c r="J658" s="47"/>
      <c r="K658" s="48"/>
      <c r="L658" s="49"/>
      <c r="M658" s="49"/>
      <c r="N658" s="50"/>
      <c r="O658" s="43"/>
      <c r="P658" s="43"/>
      <c r="Q658" s="44"/>
      <c r="R658" s="35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43"/>
      <c r="B659" s="40"/>
      <c r="C659" s="44"/>
      <c r="D659" s="45"/>
      <c r="E659" s="44"/>
      <c r="F659" s="43"/>
      <c r="G659" s="43"/>
      <c r="H659" s="43"/>
      <c r="I659" s="46"/>
      <c r="J659" s="47"/>
      <c r="K659" s="48"/>
      <c r="L659" s="49"/>
      <c r="M659" s="49"/>
      <c r="N659" s="50"/>
      <c r="O659" s="43"/>
      <c r="P659" s="43"/>
      <c r="Q659" s="44"/>
      <c r="R659" s="35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43"/>
      <c r="B660" s="40"/>
      <c r="C660" s="44"/>
      <c r="D660" s="45"/>
      <c r="E660" s="44"/>
      <c r="F660" s="43"/>
      <c r="G660" s="43"/>
      <c r="H660" s="43"/>
      <c r="I660" s="46"/>
      <c r="J660" s="47"/>
      <c r="K660" s="48"/>
      <c r="L660" s="49"/>
      <c r="M660" s="49"/>
      <c r="N660" s="50"/>
      <c r="O660" s="43"/>
      <c r="P660" s="43"/>
      <c r="Q660" s="44"/>
      <c r="R660" s="35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43"/>
      <c r="B661" s="40"/>
      <c r="C661" s="44"/>
      <c r="D661" s="45"/>
      <c r="E661" s="44"/>
      <c r="F661" s="43"/>
      <c r="G661" s="43"/>
      <c r="H661" s="43"/>
      <c r="I661" s="46"/>
      <c r="J661" s="47"/>
      <c r="K661" s="48"/>
      <c r="L661" s="49"/>
      <c r="M661" s="49"/>
      <c r="N661" s="50"/>
      <c r="O661" s="43"/>
      <c r="P661" s="43"/>
      <c r="Q661" s="44"/>
      <c r="R661" s="35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43"/>
      <c r="B662" s="40"/>
      <c r="C662" s="44"/>
      <c r="D662" s="45"/>
      <c r="E662" s="44"/>
      <c r="F662" s="43"/>
      <c r="G662" s="43"/>
      <c r="H662" s="43"/>
      <c r="I662" s="46"/>
      <c r="J662" s="47"/>
      <c r="K662" s="48"/>
      <c r="L662" s="49"/>
      <c r="M662" s="49"/>
      <c r="N662" s="50"/>
      <c r="O662" s="43"/>
      <c r="P662" s="43"/>
      <c r="Q662" s="44"/>
      <c r="R662" s="35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43"/>
      <c r="B663" s="40"/>
      <c r="C663" s="44"/>
      <c r="D663" s="45"/>
      <c r="E663" s="44"/>
      <c r="F663" s="43"/>
      <c r="G663" s="43"/>
      <c r="H663" s="43"/>
      <c r="I663" s="46"/>
      <c r="J663" s="47"/>
      <c r="K663" s="48"/>
      <c r="L663" s="49"/>
      <c r="M663" s="49"/>
      <c r="N663" s="50"/>
      <c r="O663" s="43"/>
      <c r="P663" s="43"/>
      <c r="Q663" s="44"/>
      <c r="R663" s="35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43"/>
      <c r="B664" s="40"/>
      <c r="C664" s="44"/>
      <c r="D664" s="45"/>
      <c r="E664" s="44"/>
      <c r="F664" s="43"/>
      <c r="G664" s="43"/>
      <c r="H664" s="43"/>
      <c r="I664" s="46"/>
      <c r="J664" s="47"/>
      <c r="K664" s="48"/>
      <c r="L664" s="49"/>
      <c r="M664" s="49"/>
      <c r="N664" s="50"/>
      <c r="O664" s="43"/>
      <c r="P664" s="43"/>
      <c r="Q664" s="44"/>
      <c r="R664" s="35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43"/>
      <c r="B665" s="40"/>
      <c r="C665" s="44"/>
      <c r="D665" s="45"/>
      <c r="E665" s="44"/>
      <c r="F665" s="43"/>
      <c r="G665" s="43"/>
      <c r="H665" s="43"/>
      <c r="I665" s="46"/>
      <c r="J665" s="47"/>
      <c r="K665" s="48"/>
      <c r="L665" s="49"/>
      <c r="M665" s="49"/>
      <c r="N665" s="50"/>
      <c r="O665" s="43"/>
      <c r="P665" s="43"/>
      <c r="Q665" s="44"/>
      <c r="R665" s="35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43"/>
      <c r="B666" s="40"/>
      <c r="C666" s="44"/>
      <c r="D666" s="45"/>
      <c r="E666" s="44"/>
      <c r="F666" s="43"/>
      <c r="G666" s="43"/>
      <c r="H666" s="43"/>
      <c r="I666" s="46"/>
      <c r="J666" s="47"/>
      <c r="K666" s="48"/>
      <c r="L666" s="49"/>
      <c r="M666" s="49"/>
      <c r="N666" s="50"/>
      <c r="O666" s="43"/>
      <c r="P666" s="43"/>
      <c r="Q666" s="44"/>
      <c r="R666" s="35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43"/>
      <c r="B667" s="40"/>
      <c r="C667" s="44"/>
      <c r="D667" s="45"/>
      <c r="E667" s="44"/>
      <c r="F667" s="43"/>
      <c r="G667" s="43"/>
      <c r="H667" s="43"/>
      <c r="I667" s="46"/>
      <c r="J667" s="47"/>
      <c r="K667" s="48"/>
      <c r="L667" s="49"/>
      <c r="M667" s="49"/>
      <c r="N667" s="50"/>
      <c r="O667" s="43"/>
      <c r="P667" s="43"/>
      <c r="Q667" s="44"/>
      <c r="R667" s="35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43"/>
      <c r="B668" s="40"/>
      <c r="C668" s="44"/>
      <c r="D668" s="45"/>
      <c r="E668" s="44"/>
      <c r="F668" s="43"/>
      <c r="G668" s="43"/>
      <c r="H668" s="43"/>
      <c r="I668" s="46"/>
      <c r="J668" s="47"/>
      <c r="K668" s="48"/>
      <c r="L668" s="49"/>
      <c r="M668" s="49"/>
      <c r="N668" s="50"/>
      <c r="O668" s="43"/>
      <c r="P668" s="43"/>
      <c r="Q668" s="44"/>
      <c r="R668" s="35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43"/>
      <c r="B669" s="40"/>
      <c r="C669" s="44"/>
      <c r="D669" s="45"/>
      <c r="E669" s="44"/>
      <c r="F669" s="43"/>
      <c r="G669" s="43"/>
      <c r="H669" s="43"/>
      <c r="I669" s="46"/>
      <c r="J669" s="47"/>
      <c r="K669" s="48"/>
      <c r="L669" s="49"/>
      <c r="M669" s="49"/>
      <c r="N669" s="50"/>
      <c r="O669" s="43"/>
      <c r="P669" s="43"/>
      <c r="Q669" s="44"/>
      <c r="R669" s="35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43"/>
      <c r="B670" s="40"/>
      <c r="C670" s="44"/>
      <c r="D670" s="45"/>
      <c r="E670" s="44"/>
      <c r="F670" s="43"/>
      <c r="G670" s="43"/>
      <c r="H670" s="43"/>
      <c r="I670" s="46"/>
      <c r="J670" s="47"/>
      <c r="K670" s="48"/>
      <c r="L670" s="49"/>
      <c r="M670" s="49"/>
      <c r="N670" s="50"/>
      <c r="O670" s="43"/>
      <c r="P670" s="43"/>
      <c r="Q670" s="44"/>
      <c r="R670" s="35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43"/>
      <c r="B671" s="40"/>
      <c r="C671" s="44"/>
      <c r="D671" s="45"/>
      <c r="E671" s="44"/>
      <c r="F671" s="43"/>
      <c r="G671" s="43"/>
      <c r="H671" s="43"/>
      <c r="I671" s="46"/>
      <c r="J671" s="47"/>
      <c r="K671" s="48"/>
      <c r="L671" s="49"/>
      <c r="M671" s="49"/>
      <c r="N671" s="50"/>
      <c r="O671" s="43"/>
      <c r="P671" s="43"/>
      <c r="Q671" s="44"/>
      <c r="R671" s="35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43"/>
      <c r="B672" s="40"/>
      <c r="C672" s="44"/>
      <c r="D672" s="45"/>
      <c r="E672" s="44"/>
      <c r="F672" s="43"/>
      <c r="G672" s="43"/>
      <c r="H672" s="43"/>
      <c r="I672" s="46"/>
      <c r="J672" s="47"/>
      <c r="K672" s="48"/>
      <c r="L672" s="49"/>
      <c r="M672" s="49"/>
      <c r="N672" s="50"/>
      <c r="O672" s="43"/>
      <c r="P672" s="43"/>
      <c r="Q672" s="44"/>
      <c r="R672" s="35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43"/>
      <c r="B673" s="40"/>
      <c r="C673" s="44"/>
      <c r="D673" s="45"/>
      <c r="E673" s="44"/>
      <c r="F673" s="43"/>
      <c r="G673" s="43"/>
      <c r="H673" s="43"/>
      <c r="I673" s="46"/>
      <c r="J673" s="47"/>
      <c r="K673" s="48"/>
      <c r="L673" s="49"/>
      <c r="M673" s="49"/>
      <c r="N673" s="50"/>
      <c r="O673" s="43"/>
      <c r="P673" s="43"/>
      <c r="Q673" s="44"/>
      <c r="R673" s="35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43"/>
      <c r="B674" s="40"/>
      <c r="C674" s="44"/>
      <c r="D674" s="45"/>
      <c r="E674" s="44"/>
      <c r="F674" s="43"/>
      <c r="G674" s="43"/>
      <c r="H674" s="43"/>
      <c r="I674" s="46"/>
      <c r="J674" s="47"/>
      <c r="K674" s="48"/>
      <c r="L674" s="49"/>
      <c r="M674" s="49"/>
      <c r="N674" s="50"/>
      <c r="O674" s="43"/>
      <c r="P674" s="43"/>
      <c r="Q674" s="44"/>
      <c r="R674" s="35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43"/>
      <c r="B675" s="40"/>
      <c r="C675" s="44"/>
      <c r="D675" s="45"/>
      <c r="E675" s="44"/>
      <c r="F675" s="43"/>
      <c r="G675" s="43"/>
      <c r="H675" s="43"/>
      <c r="I675" s="46"/>
      <c r="J675" s="47"/>
      <c r="K675" s="48"/>
      <c r="L675" s="49"/>
      <c r="M675" s="49"/>
      <c r="N675" s="50"/>
      <c r="O675" s="43"/>
      <c r="P675" s="43"/>
      <c r="Q675" s="44"/>
      <c r="R675" s="35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43"/>
      <c r="B676" s="40"/>
      <c r="C676" s="44"/>
      <c r="D676" s="45"/>
      <c r="E676" s="44"/>
      <c r="F676" s="43"/>
      <c r="G676" s="43"/>
      <c r="H676" s="43"/>
      <c r="I676" s="46"/>
      <c r="J676" s="47"/>
      <c r="K676" s="48"/>
      <c r="L676" s="49"/>
      <c r="M676" s="49"/>
      <c r="N676" s="50"/>
      <c r="O676" s="43"/>
      <c r="P676" s="43"/>
      <c r="Q676" s="44"/>
      <c r="R676" s="35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43"/>
      <c r="B677" s="40"/>
      <c r="C677" s="44"/>
      <c r="D677" s="45"/>
      <c r="E677" s="44"/>
      <c r="F677" s="43"/>
      <c r="G677" s="43"/>
      <c r="H677" s="43"/>
      <c r="I677" s="46"/>
      <c r="J677" s="47"/>
      <c r="K677" s="48"/>
      <c r="L677" s="49"/>
      <c r="M677" s="49"/>
      <c r="N677" s="50"/>
      <c r="O677" s="43"/>
      <c r="P677" s="43"/>
      <c r="Q677" s="44"/>
      <c r="R677" s="35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43"/>
      <c r="B678" s="40"/>
      <c r="C678" s="44"/>
      <c r="D678" s="45"/>
      <c r="E678" s="44"/>
      <c r="F678" s="43"/>
      <c r="G678" s="43"/>
      <c r="H678" s="43"/>
      <c r="I678" s="46"/>
      <c r="J678" s="47"/>
      <c r="K678" s="48"/>
      <c r="L678" s="49"/>
      <c r="M678" s="49"/>
      <c r="N678" s="50"/>
      <c r="O678" s="43"/>
      <c r="P678" s="43"/>
      <c r="Q678" s="44"/>
      <c r="R678" s="35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43"/>
      <c r="B679" s="40"/>
      <c r="C679" s="44"/>
      <c r="D679" s="45"/>
      <c r="E679" s="44"/>
      <c r="F679" s="43"/>
      <c r="G679" s="43"/>
      <c r="H679" s="43"/>
      <c r="I679" s="46"/>
      <c r="J679" s="47"/>
      <c r="K679" s="48"/>
      <c r="L679" s="49"/>
      <c r="M679" s="49"/>
      <c r="N679" s="50"/>
      <c r="O679" s="43"/>
      <c r="P679" s="43"/>
      <c r="Q679" s="44"/>
      <c r="R679" s="35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43"/>
      <c r="B680" s="40"/>
      <c r="C680" s="44"/>
      <c r="D680" s="45"/>
      <c r="E680" s="44"/>
      <c r="F680" s="43"/>
      <c r="G680" s="43"/>
      <c r="H680" s="43"/>
      <c r="I680" s="46"/>
      <c r="J680" s="47"/>
      <c r="K680" s="48"/>
      <c r="L680" s="49"/>
      <c r="M680" s="49"/>
      <c r="N680" s="50"/>
      <c r="O680" s="43"/>
      <c r="P680" s="43"/>
      <c r="Q680" s="44"/>
      <c r="R680" s="35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43"/>
      <c r="B681" s="40"/>
      <c r="C681" s="44"/>
      <c r="D681" s="45"/>
      <c r="E681" s="44"/>
      <c r="F681" s="43"/>
      <c r="G681" s="43"/>
      <c r="H681" s="43"/>
      <c r="I681" s="46"/>
      <c r="J681" s="47"/>
      <c r="K681" s="48"/>
      <c r="L681" s="49"/>
      <c r="M681" s="49"/>
      <c r="N681" s="50"/>
      <c r="O681" s="43"/>
      <c r="P681" s="43"/>
      <c r="Q681" s="44"/>
      <c r="R681" s="35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43"/>
      <c r="B682" s="40"/>
      <c r="C682" s="44"/>
      <c r="D682" s="45"/>
      <c r="E682" s="44"/>
      <c r="F682" s="43"/>
      <c r="G682" s="43"/>
      <c r="H682" s="43"/>
      <c r="I682" s="46"/>
      <c r="J682" s="47"/>
      <c r="K682" s="48"/>
      <c r="L682" s="49"/>
      <c r="M682" s="49"/>
      <c r="N682" s="50"/>
      <c r="O682" s="43"/>
      <c r="P682" s="43"/>
      <c r="Q682" s="44"/>
      <c r="R682" s="35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43"/>
      <c r="B683" s="40"/>
      <c r="C683" s="44"/>
      <c r="D683" s="45"/>
      <c r="E683" s="44"/>
      <c r="F683" s="43"/>
      <c r="G683" s="43"/>
      <c r="H683" s="43"/>
      <c r="I683" s="46"/>
      <c r="J683" s="47"/>
      <c r="K683" s="48"/>
      <c r="L683" s="49"/>
      <c r="M683" s="49"/>
      <c r="N683" s="50"/>
      <c r="O683" s="43"/>
      <c r="P683" s="43"/>
      <c r="Q683" s="44"/>
      <c r="R683" s="35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43"/>
      <c r="B684" s="40"/>
      <c r="C684" s="44"/>
      <c r="D684" s="45"/>
      <c r="E684" s="44"/>
      <c r="F684" s="43"/>
      <c r="G684" s="43"/>
      <c r="H684" s="43"/>
      <c r="I684" s="46"/>
      <c r="J684" s="47"/>
      <c r="K684" s="48"/>
      <c r="L684" s="49"/>
      <c r="M684" s="49"/>
      <c r="N684" s="50"/>
      <c r="O684" s="43"/>
      <c r="P684" s="43"/>
      <c r="Q684" s="44"/>
      <c r="R684" s="35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43"/>
      <c r="B685" s="40"/>
      <c r="C685" s="44"/>
      <c r="D685" s="45"/>
      <c r="E685" s="44"/>
      <c r="F685" s="43"/>
      <c r="G685" s="43"/>
      <c r="H685" s="43"/>
      <c r="I685" s="46"/>
      <c r="J685" s="47"/>
      <c r="K685" s="48"/>
      <c r="L685" s="49"/>
      <c r="M685" s="49"/>
      <c r="N685" s="50"/>
      <c r="O685" s="43"/>
      <c r="P685" s="43"/>
      <c r="Q685" s="44"/>
      <c r="R685" s="35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43"/>
      <c r="B686" s="40"/>
      <c r="C686" s="44"/>
      <c r="D686" s="45"/>
      <c r="E686" s="44"/>
      <c r="F686" s="43"/>
      <c r="G686" s="43"/>
      <c r="H686" s="43"/>
      <c r="I686" s="46"/>
      <c r="J686" s="47"/>
      <c r="K686" s="48"/>
      <c r="L686" s="49"/>
      <c r="M686" s="49"/>
      <c r="N686" s="50"/>
      <c r="O686" s="43"/>
      <c r="P686" s="43"/>
      <c r="Q686" s="44"/>
      <c r="R686" s="35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43"/>
      <c r="B687" s="40"/>
      <c r="C687" s="44"/>
      <c r="D687" s="45"/>
      <c r="E687" s="44"/>
      <c r="F687" s="43"/>
      <c r="G687" s="43"/>
      <c r="H687" s="43"/>
      <c r="I687" s="46"/>
      <c r="J687" s="47"/>
      <c r="K687" s="48"/>
      <c r="L687" s="49"/>
      <c r="M687" s="49"/>
      <c r="N687" s="50"/>
      <c r="O687" s="43"/>
      <c r="P687" s="43"/>
      <c r="Q687" s="44"/>
      <c r="R687" s="35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43"/>
      <c r="B688" s="40"/>
      <c r="C688" s="44"/>
      <c r="D688" s="45"/>
      <c r="E688" s="44"/>
      <c r="F688" s="43"/>
      <c r="G688" s="43"/>
      <c r="H688" s="43"/>
      <c r="I688" s="46"/>
      <c r="J688" s="47"/>
      <c r="K688" s="48"/>
      <c r="L688" s="49"/>
      <c r="M688" s="49"/>
      <c r="N688" s="50"/>
      <c r="O688" s="43"/>
      <c r="P688" s="43"/>
      <c r="Q688" s="44"/>
      <c r="R688" s="35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43"/>
      <c r="B689" s="40"/>
      <c r="C689" s="44"/>
      <c r="D689" s="45"/>
      <c r="E689" s="44"/>
      <c r="F689" s="43"/>
      <c r="G689" s="43"/>
      <c r="H689" s="43"/>
      <c r="I689" s="46"/>
      <c r="J689" s="47"/>
      <c r="K689" s="48"/>
      <c r="L689" s="49"/>
      <c r="M689" s="49"/>
      <c r="N689" s="50"/>
      <c r="O689" s="43"/>
      <c r="P689" s="43"/>
      <c r="Q689" s="44"/>
      <c r="R689" s="35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43"/>
      <c r="B690" s="40"/>
      <c r="C690" s="44"/>
      <c r="D690" s="45"/>
      <c r="E690" s="44"/>
      <c r="F690" s="43"/>
      <c r="G690" s="43"/>
      <c r="H690" s="43"/>
      <c r="I690" s="46"/>
      <c r="J690" s="47"/>
      <c r="K690" s="48"/>
      <c r="L690" s="49"/>
      <c r="M690" s="49"/>
      <c r="N690" s="50"/>
      <c r="O690" s="43"/>
      <c r="P690" s="43"/>
      <c r="Q690" s="44"/>
      <c r="R690" s="35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43"/>
      <c r="B691" s="40"/>
      <c r="C691" s="44"/>
      <c r="D691" s="45"/>
      <c r="E691" s="44"/>
      <c r="F691" s="43"/>
      <c r="G691" s="43"/>
      <c r="H691" s="43"/>
      <c r="I691" s="46"/>
      <c r="J691" s="47"/>
      <c r="K691" s="48"/>
      <c r="L691" s="49"/>
      <c r="M691" s="49"/>
      <c r="N691" s="50"/>
      <c r="O691" s="43"/>
      <c r="P691" s="43"/>
      <c r="Q691" s="44"/>
      <c r="R691" s="35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43"/>
      <c r="B692" s="40"/>
      <c r="C692" s="44"/>
      <c r="D692" s="45"/>
      <c r="E692" s="44"/>
      <c r="F692" s="43"/>
      <c r="G692" s="43"/>
      <c r="H692" s="43"/>
      <c r="I692" s="46"/>
      <c r="J692" s="47"/>
      <c r="K692" s="48"/>
      <c r="L692" s="49"/>
      <c r="M692" s="49"/>
      <c r="N692" s="50"/>
      <c r="O692" s="43"/>
      <c r="P692" s="43"/>
      <c r="Q692" s="44"/>
      <c r="R692" s="35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43"/>
      <c r="B693" s="40"/>
      <c r="C693" s="44"/>
      <c r="D693" s="45"/>
      <c r="E693" s="44"/>
      <c r="F693" s="43"/>
      <c r="G693" s="43"/>
      <c r="H693" s="43"/>
      <c r="I693" s="46"/>
      <c r="J693" s="47"/>
      <c r="K693" s="48"/>
      <c r="L693" s="49"/>
      <c r="M693" s="49"/>
      <c r="N693" s="50"/>
      <c r="O693" s="43"/>
      <c r="P693" s="43"/>
      <c r="Q693" s="44"/>
      <c r="R693" s="35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43"/>
      <c r="B694" s="40"/>
      <c r="C694" s="44"/>
      <c r="D694" s="45"/>
      <c r="E694" s="44"/>
      <c r="F694" s="43"/>
      <c r="G694" s="43"/>
      <c r="H694" s="43"/>
      <c r="I694" s="46"/>
      <c r="J694" s="47"/>
      <c r="K694" s="48"/>
      <c r="L694" s="49"/>
      <c r="M694" s="49"/>
      <c r="N694" s="50"/>
      <c r="O694" s="43"/>
      <c r="P694" s="43"/>
      <c r="Q694" s="44"/>
      <c r="R694" s="35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43"/>
      <c r="B695" s="40"/>
      <c r="C695" s="44"/>
      <c r="D695" s="45"/>
      <c r="E695" s="44"/>
      <c r="F695" s="43"/>
      <c r="G695" s="43"/>
      <c r="H695" s="43"/>
      <c r="I695" s="46"/>
      <c r="J695" s="47"/>
      <c r="K695" s="48"/>
      <c r="L695" s="49"/>
      <c r="M695" s="49"/>
      <c r="N695" s="50"/>
      <c r="O695" s="43"/>
      <c r="P695" s="43"/>
      <c r="Q695" s="44"/>
      <c r="R695" s="35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43"/>
      <c r="B696" s="40"/>
      <c r="C696" s="44"/>
      <c r="D696" s="45"/>
      <c r="E696" s="44"/>
      <c r="F696" s="43"/>
      <c r="G696" s="43"/>
      <c r="H696" s="43"/>
      <c r="I696" s="46"/>
      <c r="J696" s="47"/>
      <c r="K696" s="48"/>
      <c r="L696" s="49"/>
      <c r="M696" s="49"/>
      <c r="N696" s="50"/>
      <c r="O696" s="43"/>
      <c r="P696" s="43"/>
      <c r="Q696" s="44"/>
      <c r="R696" s="35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43"/>
      <c r="B697" s="40"/>
      <c r="C697" s="44"/>
      <c r="D697" s="45"/>
      <c r="E697" s="44"/>
      <c r="F697" s="43"/>
      <c r="G697" s="43"/>
      <c r="H697" s="43"/>
      <c r="I697" s="46"/>
      <c r="J697" s="47"/>
      <c r="K697" s="48"/>
      <c r="L697" s="49"/>
      <c r="M697" s="49"/>
      <c r="N697" s="50"/>
      <c r="O697" s="43"/>
      <c r="P697" s="43"/>
      <c r="Q697" s="44"/>
      <c r="R697" s="35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43"/>
      <c r="B698" s="40"/>
      <c r="C698" s="44"/>
      <c r="D698" s="45"/>
      <c r="E698" s="44"/>
      <c r="F698" s="43"/>
      <c r="G698" s="43"/>
      <c r="H698" s="43"/>
      <c r="I698" s="46"/>
      <c r="J698" s="47"/>
      <c r="K698" s="48"/>
      <c r="L698" s="49"/>
      <c r="M698" s="49"/>
      <c r="N698" s="50"/>
      <c r="O698" s="43"/>
      <c r="P698" s="43"/>
      <c r="Q698" s="44"/>
      <c r="R698" s="35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43"/>
      <c r="B699" s="40"/>
      <c r="C699" s="44"/>
      <c r="D699" s="45"/>
      <c r="E699" s="44"/>
      <c r="F699" s="43"/>
      <c r="G699" s="43"/>
      <c r="H699" s="43"/>
      <c r="I699" s="46"/>
      <c r="J699" s="47"/>
      <c r="K699" s="48"/>
      <c r="L699" s="49"/>
      <c r="M699" s="49"/>
      <c r="N699" s="50"/>
      <c r="O699" s="43"/>
      <c r="P699" s="43"/>
      <c r="Q699" s="44"/>
      <c r="R699" s="35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43"/>
      <c r="B700" s="40"/>
      <c r="C700" s="44"/>
      <c r="D700" s="45"/>
      <c r="E700" s="44"/>
      <c r="F700" s="43"/>
      <c r="G700" s="43"/>
      <c r="H700" s="43"/>
      <c r="I700" s="46"/>
      <c r="J700" s="47"/>
      <c r="K700" s="48"/>
      <c r="L700" s="49"/>
      <c r="M700" s="49"/>
      <c r="N700" s="50"/>
      <c r="O700" s="43"/>
      <c r="P700" s="43"/>
      <c r="Q700" s="44"/>
      <c r="R700" s="35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43"/>
      <c r="B701" s="40"/>
      <c r="C701" s="44"/>
      <c r="D701" s="45"/>
      <c r="E701" s="44"/>
      <c r="F701" s="43"/>
      <c r="G701" s="43"/>
      <c r="H701" s="43"/>
      <c r="I701" s="46"/>
      <c r="J701" s="47"/>
      <c r="K701" s="48"/>
      <c r="L701" s="49"/>
      <c r="M701" s="49"/>
      <c r="N701" s="50"/>
      <c r="O701" s="43"/>
      <c r="P701" s="43"/>
      <c r="Q701" s="44"/>
      <c r="R701" s="35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43"/>
      <c r="B702" s="40"/>
      <c r="C702" s="44"/>
      <c r="D702" s="45"/>
      <c r="E702" s="44"/>
      <c r="F702" s="43"/>
      <c r="G702" s="43"/>
      <c r="H702" s="43"/>
      <c r="I702" s="46"/>
      <c r="J702" s="47"/>
      <c r="K702" s="48"/>
      <c r="L702" s="49"/>
      <c r="M702" s="49"/>
      <c r="N702" s="50"/>
      <c r="O702" s="43"/>
      <c r="P702" s="43"/>
      <c r="Q702" s="44"/>
      <c r="R702" s="35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43"/>
      <c r="B703" s="40"/>
      <c r="C703" s="44"/>
      <c r="D703" s="45"/>
      <c r="E703" s="44"/>
      <c r="F703" s="43"/>
      <c r="G703" s="43"/>
      <c r="H703" s="43"/>
      <c r="I703" s="46"/>
      <c r="J703" s="47"/>
      <c r="K703" s="48"/>
      <c r="L703" s="49"/>
      <c r="M703" s="49"/>
      <c r="N703" s="50"/>
      <c r="O703" s="43"/>
      <c r="P703" s="43"/>
      <c r="Q703" s="44"/>
      <c r="R703" s="35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43"/>
      <c r="B704" s="40"/>
      <c r="C704" s="44"/>
      <c r="D704" s="45"/>
      <c r="E704" s="44"/>
      <c r="F704" s="43"/>
      <c r="G704" s="43"/>
      <c r="H704" s="43"/>
      <c r="I704" s="46"/>
      <c r="J704" s="47"/>
      <c r="K704" s="48"/>
      <c r="L704" s="49"/>
      <c r="M704" s="49"/>
      <c r="N704" s="50"/>
      <c r="O704" s="43"/>
      <c r="P704" s="43"/>
      <c r="Q704" s="44"/>
      <c r="R704" s="35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43"/>
      <c r="B705" s="40"/>
      <c r="C705" s="44"/>
      <c r="D705" s="45"/>
      <c r="E705" s="44"/>
      <c r="F705" s="43"/>
      <c r="G705" s="43"/>
      <c r="H705" s="43"/>
      <c r="I705" s="46"/>
      <c r="J705" s="47"/>
      <c r="K705" s="48"/>
      <c r="L705" s="49"/>
      <c r="M705" s="49"/>
      <c r="N705" s="50"/>
      <c r="O705" s="43"/>
      <c r="P705" s="43"/>
      <c r="Q705" s="44"/>
      <c r="R705" s="35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43"/>
      <c r="B706" s="40"/>
      <c r="C706" s="44"/>
      <c r="D706" s="45"/>
      <c r="E706" s="44"/>
      <c r="F706" s="43"/>
      <c r="G706" s="43"/>
      <c r="H706" s="43"/>
      <c r="I706" s="46"/>
      <c r="J706" s="47"/>
      <c r="K706" s="48"/>
      <c r="L706" s="49"/>
      <c r="M706" s="49"/>
      <c r="N706" s="50"/>
      <c r="O706" s="43"/>
      <c r="P706" s="43"/>
      <c r="Q706" s="44"/>
      <c r="R706" s="35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43"/>
      <c r="B707" s="40"/>
      <c r="C707" s="44"/>
      <c r="D707" s="45"/>
      <c r="E707" s="44"/>
      <c r="F707" s="43"/>
      <c r="G707" s="43"/>
      <c r="H707" s="43"/>
      <c r="I707" s="46"/>
      <c r="J707" s="47"/>
      <c r="K707" s="48"/>
      <c r="L707" s="49"/>
      <c r="M707" s="49"/>
      <c r="N707" s="50"/>
      <c r="O707" s="43"/>
      <c r="P707" s="43"/>
      <c r="Q707" s="44"/>
      <c r="R707" s="35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43"/>
      <c r="B708" s="40"/>
      <c r="C708" s="44"/>
      <c r="D708" s="45"/>
      <c r="E708" s="44"/>
      <c r="F708" s="43"/>
      <c r="G708" s="43"/>
      <c r="H708" s="43"/>
      <c r="I708" s="46"/>
      <c r="J708" s="47"/>
      <c r="K708" s="48"/>
      <c r="L708" s="49"/>
      <c r="M708" s="49"/>
      <c r="N708" s="50"/>
      <c r="O708" s="43"/>
      <c r="P708" s="43"/>
      <c r="Q708" s="44"/>
      <c r="R708" s="35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43"/>
      <c r="B709" s="40"/>
      <c r="C709" s="44"/>
      <c r="D709" s="45"/>
      <c r="E709" s="44"/>
      <c r="F709" s="43"/>
      <c r="G709" s="43"/>
      <c r="H709" s="43"/>
      <c r="I709" s="46"/>
      <c r="J709" s="47"/>
      <c r="K709" s="48"/>
      <c r="L709" s="49"/>
      <c r="M709" s="49"/>
      <c r="N709" s="50"/>
      <c r="O709" s="43"/>
      <c r="P709" s="43"/>
      <c r="Q709" s="44"/>
      <c r="R709" s="35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43"/>
      <c r="B710" s="40"/>
      <c r="C710" s="44"/>
      <c r="D710" s="45"/>
      <c r="E710" s="44"/>
      <c r="F710" s="43"/>
      <c r="G710" s="43"/>
      <c r="H710" s="43"/>
      <c r="I710" s="46"/>
      <c r="J710" s="47"/>
      <c r="K710" s="48"/>
      <c r="L710" s="49"/>
      <c r="M710" s="49"/>
      <c r="N710" s="50"/>
      <c r="O710" s="43"/>
      <c r="P710" s="43"/>
      <c r="Q710" s="44"/>
      <c r="R710" s="35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43"/>
      <c r="B711" s="40"/>
      <c r="C711" s="44"/>
      <c r="D711" s="45"/>
      <c r="E711" s="44"/>
      <c r="F711" s="43"/>
      <c r="G711" s="43"/>
      <c r="H711" s="43"/>
      <c r="I711" s="46"/>
      <c r="J711" s="47"/>
      <c r="K711" s="48"/>
      <c r="L711" s="49"/>
      <c r="M711" s="49"/>
      <c r="N711" s="50"/>
      <c r="O711" s="43"/>
      <c r="P711" s="43"/>
      <c r="Q711" s="44"/>
      <c r="R711" s="35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43"/>
      <c r="B712" s="40"/>
      <c r="C712" s="44"/>
      <c r="D712" s="45"/>
      <c r="E712" s="44"/>
      <c r="F712" s="43"/>
      <c r="G712" s="43"/>
      <c r="H712" s="43"/>
      <c r="I712" s="46"/>
      <c r="J712" s="47"/>
      <c r="K712" s="48"/>
      <c r="L712" s="49"/>
      <c r="M712" s="49"/>
      <c r="N712" s="50"/>
      <c r="O712" s="43"/>
      <c r="P712" s="43"/>
      <c r="Q712" s="44"/>
      <c r="R712" s="35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43"/>
      <c r="B713" s="40"/>
      <c r="C713" s="44"/>
      <c r="D713" s="45"/>
      <c r="E713" s="44"/>
      <c r="F713" s="43"/>
      <c r="G713" s="43"/>
      <c r="H713" s="43"/>
      <c r="I713" s="46"/>
      <c r="J713" s="47"/>
      <c r="K713" s="48"/>
      <c r="L713" s="49"/>
      <c r="M713" s="49"/>
      <c r="N713" s="50"/>
      <c r="O713" s="43"/>
      <c r="P713" s="43"/>
      <c r="Q713" s="44"/>
      <c r="R713" s="35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43"/>
      <c r="B714" s="40"/>
      <c r="C714" s="44"/>
      <c r="D714" s="45"/>
      <c r="E714" s="44"/>
      <c r="F714" s="43"/>
      <c r="G714" s="43"/>
      <c r="H714" s="43"/>
      <c r="I714" s="46"/>
      <c r="J714" s="47"/>
      <c r="K714" s="48"/>
      <c r="L714" s="49"/>
      <c r="M714" s="49"/>
      <c r="N714" s="50"/>
      <c r="O714" s="43"/>
      <c r="P714" s="43"/>
      <c r="Q714" s="44"/>
      <c r="R714" s="35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43"/>
      <c r="B715" s="40"/>
      <c r="C715" s="44"/>
      <c r="D715" s="45"/>
      <c r="E715" s="44"/>
      <c r="F715" s="43"/>
      <c r="G715" s="43"/>
      <c r="H715" s="43"/>
      <c r="I715" s="46"/>
      <c r="J715" s="47"/>
      <c r="K715" s="48"/>
      <c r="L715" s="49"/>
      <c r="M715" s="49"/>
      <c r="N715" s="50"/>
      <c r="O715" s="43"/>
      <c r="P715" s="43"/>
      <c r="Q715" s="44"/>
      <c r="R715" s="35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43"/>
      <c r="B716" s="40"/>
      <c r="C716" s="44"/>
      <c r="D716" s="45"/>
      <c r="E716" s="44"/>
      <c r="F716" s="43"/>
      <c r="G716" s="43"/>
      <c r="H716" s="43"/>
      <c r="I716" s="46"/>
      <c r="J716" s="47"/>
      <c r="K716" s="48"/>
      <c r="L716" s="49"/>
      <c r="M716" s="49"/>
      <c r="N716" s="50"/>
      <c r="O716" s="43"/>
      <c r="P716" s="43"/>
      <c r="Q716" s="44"/>
      <c r="R716" s="35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43"/>
      <c r="B717" s="40"/>
      <c r="C717" s="44"/>
      <c r="D717" s="45"/>
      <c r="E717" s="44"/>
      <c r="F717" s="43"/>
      <c r="G717" s="43"/>
      <c r="H717" s="43"/>
      <c r="I717" s="46"/>
      <c r="J717" s="47"/>
      <c r="K717" s="48"/>
      <c r="L717" s="49"/>
      <c r="M717" s="49"/>
      <c r="N717" s="50"/>
      <c r="O717" s="43"/>
      <c r="P717" s="43"/>
      <c r="Q717" s="44"/>
      <c r="R717" s="35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43"/>
      <c r="B718" s="40"/>
      <c r="C718" s="44"/>
      <c r="D718" s="45"/>
      <c r="E718" s="44"/>
      <c r="F718" s="43"/>
      <c r="G718" s="43"/>
      <c r="H718" s="43"/>
      <c r="I718" s="46"/>
      <c r="J718" s="47"/>
      <c r="K718" s="48"/>
      <c r="L718" s="49"/>
      <c r="M718" s="49"/>
      <c r="N718" s="50"/>
      <c r="O718" s="43"/>
      <c r="P718" s="43"/>
      <c r="Q718" s="44"/>
      <c r="R718" s="35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43"/>
      <c r="B719" s="40"/>
      <c r="C719" s="44"/>
      <c r="D719" s="45"/>
      <c r="E719" s="44"/>
      <c r="F719" s="43"/>
      <c r="G719" s="43"/>
      <c r="H719" s="43"/>
      <c r="I719" s="46"/>
      <c r="J719" s="47"/>
      <c r="K719" s="48"/>
      <c r="L719" s="49"/>
      <c r="M719" s="49"/>
      <c r="N719" s="50"/>
      <c r="O719" s="43"/>
      <c r="P719" s="43"/>
      <c r="Q719" s="44"/>
      <c r="R719" s="35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43"/>
      <c r="B720" s="40"/>
      <c r="C720" s="44"/>
      <c r="D720" s="45"/>
      <c r="E720" s="44"/>
      <c r="F720" s="43"/>
      <c r="G720" s="43"/>
      <c r="H720" s="43"/>
      <c r="I720" s="46"/>
      <c r="J720" s="47"/>
      <c r="K720" s="48"/>
      <c r="L720" s="49"/>
      <c r="M720" s="49"/>
      <c r="N720" s="50"/>
      <c r="O720" s="43"/>
      <c r="P720" s="43"/>
      <c r="Q720" s="44"/>
      <c r="R720" s="35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43"/>
      <c r="B721" s="40"/>
      <c r="C721" s="44"/>
      <c r="D721" s="45"/>
      <c r="E721" s="44"/>
      <c r="F721" s="43"/>
      <c r="G721" s="43"/>
      <c r="H721" s="43"/>
      <c r="I721" s="46"/>
      <c r="J721" s="47"/>
      <c r="K721" s="48"/>
      <c r="L721" s="49"/>
      <c r="M721" s="49"/>
      <c r="N721" s="50"/>
      <c r="O721" s="43"/>
      <c r="P721" s="43"/>
      <c r="Q721" s="44"/>
      <c r="R721" s="35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43"/>
      <c r="B722" s="40"/>
      <c r="C722" s="44"/>
      <c r="D722" s="45"/>
      <c r="E722" s="44"/>
      <c r="F722" s="43"/>
      <c r="G722" s="43"/>
      <c r="H722" s="43"/>
      <c r="I722" s="46"/>
      <c r="J722" s="47"/>
      <c r="K722" s="48"/>
      <c r="L722" s="49"/>
      <c r="M722" s="49"/>
      <c r="N722" s="50"/>
      <c r="O722" s="43"/>
      <c r="P722" s="43"/>
      <c r="Q722" s="44"/>
      <c r="R722" s="35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43"/>
      <c r="B723" s="40"/>
      <c r="C723" s="44"/>
      <c r="D723" s="45"/>
      <c r="E723" s="44"/>
      <c r="F723" s="43"/>
      <c r="G723" s="43"/>
      <c r="H723" s="43"/>
      <c r="I723" s="46"/>
      <c r="J723" s="47"/>
      <c r="K723" s="48"/>
      <c r="L723" s="49"/>
      <c r="M723" s="49"/>
      <c r="N723" s="50"/>
      <c r="O723" s="43"/>
      <c r="P723" s="43"/>
      <c r="Q723" s="44"/>
      <c r="R723" s="35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43"/>
      <c r="B724" s="40"/>
      <c r="C724" s="44"/>
      <c r="D724" s="45"/>
      <c r="E724" s="44"/>
      <c r="F724" s="43"/>
      <c r="G724" s="43"/>
      <c r="H724" s="43"/>
      <c r="I724" s="46"/>
      <c r="J724" s="47"/>
      <c r="K724" s="48"/>
      <c r="L724" s="49"/>
      <c r="M724" s="49"/>
      <c r="N724" s="50"/>
      <c r="O724" s="43"/>
      <c r="P724" s="43"/>
      <c r="Q724" s="44"/>
      <c r="R724" s="35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43"/>
      <c r="B725" s="40"/>
      <c r="C725" s="44"/>
      <c r="D725" s="45"/>
      <c r="E725" s="44"/>
      <c r="F725" s="43"/>
      <c r="G725" s="43"/>
      <c r="H725" s="43"/>
      <c r="I725" s="46"/>
      <c r="J725" s="47"/>
      <c r="K725" s="48"/>
      <c r="L725" s="49"/>
      <c r="M725" s="49"/>
      <c r="N725" s="50"/>
      <c r="O725" s="43"/>
      <c r="P725" s="43"/>
      <c r="Q725" s="44"/>
      <c r="R725" s="35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43"/>
      <c r="B726" s="40"/>
      <c r="C726" s="44"/>
      <c r="D726" s="45"/>
      <c r="E726" s="44"/>
      <c r="F726" s="43"/>
      <c r="G726" s="43"/>
      <c r="H726" s="43"/>
      <c r="I726" s="46"/>
      <c r="J726" s="47"/>
      <c r="K726" s="48"/>
      <c r="L726" s="49"/>
      <c r="M726" s="49"/>
      <c r="N726" s="50"/>
      <c r="O726" s="43"/>
      <c r="P726" s="43"/>
      <c r="Q726" s="44"/>
      <c r="R726" s="35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43"/>
      <c r="B727" s="40"/>
      <c r="C727" s="44"/>
      <c r="D727" s="45"/>
      <c r="E727" s="44"/>
      <c r="F727" s="43"/>
      <c r="G727" s="43"/>
      <c r="H727" s="43"/>
      <c r="I727" s="46"/>
      <c r="J727" s="47"/>
      <c r="K727" s="48"/>
      <c r="L727" s="49"/>
      <c r="M727" s="49"/>
      <c r="N727" s="50"/>
      <c r="O727" s="43"/>
      <c r="P727" s="43"/>
      <c r="Q727" s="44"/>
      <c r="R727" s="35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43"/>
      <c r="B728" s="40"/>
      <c r="C728" s="44"/>
      <c r="D728" s="45"/>
      <c r="E728" s="44"/>
      <c r="F728" s="43"/>
      <c r="G728" s="43"/>
      <c r="H728" s="43"/>
      <c r="I728" s="46"/>
      <c r="J728" s="47"/>
      <c r="K728" s="48"/>
      <c r="L728" s="49"/>
      <c r="M728" s="49"/>
      <c r="N728" s="50"/>
      <c r="O728" s="43"/>
      <c r="P728" s="43"/>
      <c r="Q728" s="44"/>
      <c r="R728" s="35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43"/>
      <c r="B729" s="40"/>
      <c r="C729" s="44"/>
      <c r="D729" s="45"/>
      <c r="E729" s="44"/>
      <c r="F729" s="43"/>
      <c r="G729" s="43"/>
      <c r="H729" s="43"/>
      <c r="I729" s="46"/>
      <c r="J729" s="47"/>
      <c r="K729" s="48"/>
      <c r="L729" s="49"/>
      <c r="M729" s="49"/>
      <c r="N729" s="50"/>
      <c r="O729" s="43"/>
      <c r="P729" s="43"/>
      <c r="Q729" s="44"/>
      <c r="R729" s="35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43"/>
      <c r="B730" s="40"/>
      <c r="C730" s="44"/>
      <c r="D730" s="45"/>
      <c r="E730" s="44"/>
      <c r="F730" s="43"/>
      <c r="G730" s="43"/>
      <c r="H730" s="43"/>
      <c r="I730" s="46"/>
      <c r="J730" s="47"/>
      <c r="K730" s="48"/>
      <c r="L730" s="49"/>
      <c r="M730" s="49"/>
      <c r="N730" s="50"/>
      <c r="O730" s="43"/>
      <c r="P730" s="43"/>
      <c r="Q730" s="44"/>
      <c r="R730" s="35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43"/>
      <c r="B731" s="40"/>
      <c r="C731" s="44"/>
      <c r="D731" s="45"/>
      <c r="E731" s="44"/>
      <c r="F731" s="43"/>
      <c r="G731" s="43"/>
      <c r="H731" s="43"/>
      <c r="I731" s="46"/>
      <c r="J731" s="47"/>
      <c r="K731" s="48"/>
      <c r="L731" s="49"/>
      <c r="M731" s="49"/>
      <c r="N731" s="50"/>
      <c r="O731" s="43"/>
      <c r="P731" s="43"/>
      <c r="Q731" s="44"/>
      <c r="R731" s="35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43"/>
      <c r="B732" s="40"/>
      <c r="C732" s="44"/>
      <c r="D732" s="45"/>
      <c r="E732" s="44"/>
      <c r="F732" s="43"/>
      <c r="G732" s="43"/>
      <c r="H732" s="43"/>
      <c r="I732" s="46"/>
      <c r="J732" s="47"/>
      <c r="K732" s="48"/>
      <c r="L732" s="49"/>
      <c r="M732" s="49"/>
      <c r="N732" s="50"/>
      <c r="O732" s="43"/>
      <c r="P732" s="43"/>
      <c r="Q732" s="44"/>
      <c r="R732" s="35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43"/>
      <c r="B733" s="40"/>
      <c r="C733" s="44"/>
      <c r="D733" s="45"/>
      <c r="E733" s="44"/>
      <c r="F733" s="43"/>
      <c r="G733" s="43"/>
      <c r="H733" s="43"/>
      <c r="I733" s="46"/>
      <c r="J733" s="47"/>
      <c r="K733" s="48"/>
      <c r="L733" s="49"/>
      <c r="M733" s="49"/>
      <c r="N733" s="50"/>
      <c r="O733" s="43"/>
      <c r="P733" s="43"/>
      <c r="Q733" s="44"/>
      <c r="R733" s="35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43"/>
      <c r="B734" s="40"/>
      <c r="C734" s="44"/>
      <c r="D734" s="45"/>
      <c r="E734" s="44"/>
      <c r="F734" s="43"/>
      <c r="G734" s="43"/>
      <c r="H734" s="43"/>
      <c r="I734" s="46"/>
      <c r="J734" s="47"/>
      <c r="K734" s="48"/>
      <c r="L734" s="49"/>
      <c r="M734" s="49"/>
      <c r="N734" s="50"/>
      <c r="O734" s="43"/>
      <c r="P734" s="43"/>
      <c r="Q734" s="44"/>
      <c r="R734" s="35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43"/>
      <c r="B735" s="40"/>
      <c r="C735" s="44"/>
      <c r="D735" s="45"/>
      <c r="E735" s="44"/>
      <c r="F735" s="43"/>
      <c r="G735" s="43"/>
      <c r="H735" s="43"/>
      <c r="I735" s="46"/>
      <c r="J735" s="47"/>
      <c r="K735" s="48"/>
      <c r="L735" s="49"/>
      <c r="M735" s="49"/>
      <c r="N735" s="50"/>
      <c r="O735" s="43"/>
      <c r="P735" s="43"/>
      <c r="Q735" s="44"/>
      <c r="R735" s="35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43"/>
      <c r="B736" s="40"/>
      <c r="C736" s="44"/>
      <c r="D736" s="45"/>
      <c r="E736" s="44"/>
      <c r="F736" s="43"/>
      <c r="G736" s="43"/>
      <c r="H736" s="43"/>
      <c r="I736" s="46"/>
      <c r="J736" s="47"/>
      <c r="K736" s="48"/>
      <c r="L736" s="49"/>
      <c r="M736" s="49"/>
      <c r="N736" s="50"/>
      <c r="O736" s="43"/>
      <c r="P736" s="43"/>
      <c r="Q736" s="44"/>
      <c r="R736" s="35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43"/>
      <c r="B737" s="40"/>
      <c r="C737" s="44"/>
      <c r="D737" s="45"/>
      <c r="E737" s="44"/>
      <c r="F737" s="43"/>
      <c r="G737" s="43"/>
      <c r="H737" s="43"/>
      <c r="I737" s="46"/>
      <c r="J737" s="47"/>
      <c r="K737" s="48"/>
      <c r="L737" s="49"/>
      <c r="M737" s="49"/>
      <c r="N737" s="50"/>
      <c r="O737" s="43"/>
      <c r="P737" s="43"/>
      <c r="Q737" s="44"/>
      <c r="R737" s="35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43"/>
      <c r="B738" s="40"/>
      <c r="C738" s="44"/>
      <c r="D738" s="45"/>
      <c r="E738" s="44"/>
      <c r="F738" s="43"/>
      <c r="G738" s="43"/>
      <c r="H738" s="43"/>
      <c r="I738" s="46"/>
      <c r="J738" s="47"/>
      <c r="K738" s="48"/>
      <c r="L738" s="49"/>
      <c r="M738" s="49"/>
      <c r="N738" s="50"/>
      <c r="O738" s="43"/>
      <c r="P738" s="43"/>
      <c r="Q738" s="44"/>
      <c r="R738" s="35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43"/>
      <c r="B739" s="40"/>
      <c r="C739" s="44"/>
      <c r="D739" s="45"/>
      <c r="E739" s="44"/>
      <c r="F739" s="43"/>
      <c r="G739" s="43"/>
      <c r="H739" s="43"/>
      <c r="I739" s="46"/>
      <c r="J739" s="47"/>
      <c r="K739" s="48"/>
      <c r="L739" s="49"/>
      <c r="M739" s="49"/>
      <c r="N739" s="50"/>
      <c r="O739" s="43"/>
      <c r="P739" s="43"/>
      <c r="Q739" s="44"/>
      <c r="R739" s="35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43"/>
      <c r="B740" s="40"/>
      <c r="C740" s="44"/>
      <c r="D740" s="45"/>
      <c r="E740" s="44"/>
      <c r="F740" s="43"/>
      <c r="G740" s="43"/>
      <c r="H740" s="43"/>
      <c r="I740" s="46"/>
      <c r="J740" s="47"/>
      <c r="K740" s="48"/>
      <c r="L740" s="49"/>
      <c r="M740" s="49"/>
      <c r="N740" s="50"/>
      <c r="O740" s="43"/>
      <c r="P740" s="43"/>
      <c r="Q740" s="44"/>
      <c r="R740" s="35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43"/>
      <c r="B741" s="40"/>
      <c r="C741" s="44"/>
      <c r="D741" s="45"/>
      <c r="E741" s="44"/>
      <c r="F741" s="43"/>
      <c r="G741" s="43"/>
      <c r="H741" s="43"/>
      <c r="I741" s="46"/>
      <c r="J741" s="47"/>
      <c r="K741" s="48"/>
      <c r="L741" s="49"/>
      <c r="M741" s="49"/>
      <c r="N741" s="50"/>
      <c r="O741" s="43"/>
      <c r="P741" s="43"/>
      <c r="Q741" s="44"/>
      <c r="R741" s="35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43"/>
      <c r="B742" s="40"/>
      <c r="C742" s="44"/>
      <c r="D742" s="45"/>
      <c r="E742" s="44"/>
      <c r="F742" s="43"/>
      <c r="G742" s="43"/>
      <c r="H742" s="43"/>
      <c r="I742" s="46"/>
      <c r="J742" s="47"/>
      <c r="K742" s="48"/>
      <c r="L742" s="49"/>
      <c r="M742" s="49"/>
      <c r="N742" s="50"/>
      <c r="O742" s="43"/>
      <c r="P742" s="43"/>
      <c r="Q742" s="44"/>
      <c r="R742" s="35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43"/>
      <c r="B743" s="40"/>
      <c r="C743" s="44"/>
      <c r="D743" s="45"/>
      <c r="E743" s="44"/>
      <c r="F743" s="43"/>
      <c r="G743" s="43"/>
      <c r="H743" s="43"/>
      <c r="I743" s="46"/>
      <c r="J743" s="47"/>
      <c r="K743" s="48"/>
      <c r="L743" s="49"/>
      <c r="M743" s="49"/>
      <c r="N743" s="50"/>
      <c r="O743" s="43"/>
      <c r="P743" s="43"/>
      <c r="Q743" s="44"/>
      <c r="R743" s="35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43"/>
      <c r="B744" s="40"/>
      <c r="C744" s="44"/>
      <c r="D744" s="45"/>
      <c r="E744" s="44"/>
      <c r="F744" s="43"/>
      <c r="G744" s="43"/>
      <c r="H744" s="43"/>
      <c r="I744" s="46"/>
      <c r="J744" s="47"/>
      <c r="K744" s="48"/>
      <c r="L744" s="49"/>
      <c r="M744" s="49"/>
      <c r="N744" s="50"/>
      <c r="O744" s="43"/>
      <c r="P744" s="43"/>
      <c r="Q744" s="44"/>
      <c r="R744" s="35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43"/>
      <c r="B745" s="40"/>
      <c r="C745" s="44"/>
      <c r="D745" s="45"/>
      <c r="E745" s="44"/>
      <c r="F745" s="43"/>
      <c r="G745" s="43"/>
      <c r="H745" s="43"/>
      <c r="I745" s="46"/>
      <c r="J745" s="47"/>
      <c r="K745" s="48"/>
      <c r="L745" s="49"/>
      <c r="M745" s="49"/>
      <c r="N745" s="50"/>
      <c r="O745" s="43"/>
      <c r="P745" s="43"/>
      <c r="Q745" s="44"/>
      <c r="R745" s="35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43"/>
      <c r="B746" s="40"/>
      <c r="C746" s="44"/>
      <c r="D746" s="45"/>
      <c r="E746" s="44"/>
      <c r="F746" s="43"/>
      <c r="G746" s="43"/>
      <c r="H746" s="43"/>
      <c r="I746" s="46"/>
      <c r="J746" s="47"/>
      <c r="K746" s="48"/>
      <c r="L746" s="49"/>
      <c r="M746" s="49"/>
      <c r="N746" s="50"/>
      <c r="O746" s="43"/>
      <c r="P746" s="43"/>
      <c r="Q746" s="44"/>
      <c r="R746" s="35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43"/>
      <c r="B747" s="40"/>
      <c r="C747" s="44"/>
      <c r="D747" s="45"/>
      <c r="E747" s="44"/>
      <c r="F747" s="43"/>
      <c r="G747" s="43"/>
      <c r="H747" s="43"/>
      <c r="I747" s="46"/>
      <c r="J747" s="47"/>
      <c r="K747" s="48"/>
      <c r="L747" s="49"/>
      <c r="M747" s="49"/>
      <c r="N747" s="50"/>
      <c r="O747" s="43"/>
      <c r="P747" s="43"/>
      <c r="Q747" s="44"/>
      <c r="R747" s="35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43"/>
      <c r="B748" s="40"/>
      <c r="C748" s="44"/>
      <c r="D748" s="45"/>
      <c r="E748" s="44"/>
      <c r="F748" s="43"/>
      <c r="G748" s="43"/>
      <c r="H748" s="43"/>
      <c r="I748" s="46"/>
      <c r="J748" s="47"/>
      <c r="K748" s="48"/>
      <c r="L748" s="49"/>
      <c r="M748" s="49"/>
      <c r="N748" s="50"/>
      <c r="O748" s="43"/>
      <c r="P748" s="43"/>
      <c r="Q748" s="44"/>
      <c r="R748" s="35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43"/>
      <c r="B749" s="40"/>
      <c r="C749" s="44"/>
      <c r="D749" s="45"/>
      <c r="E749" s="44"/>
      <c r="F749" s="43"/>
      <c r="G749" s="43"/>
      <c r="H749" s="43"/>
      <c r="I749" s="46"/>
      <c r="J749" s="47"/>
      <c r="K749" s="48"/>
      <c r="L749" s="49"/>
      <c r="M749" s="49"/>
      <c r="N749" s="50"/>
      <c r="O749" s="43"/>
      <c r="P749" s="43"/>
      <c r="Q749" s="44"/>
      <c r="R749" s="35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43"/>
      <c r="B750" s="40"/>
      <c r="C750" s="44"/>
      <c r="D750" s="45"/>
      <c r="E750" s="44"/>
      <c r="F750" s="43"/>
      <c r="G750" s="43"/>
      <c r="H750" s="43"/>
      <c r="I750" s="46"/>
      <c r="J750" s="47"/>
      <c r="K750" s="48"/>
      <c r="L750" s="49"/>
      <c r="M750" s="49"/>
      <c r="N750" s="50"/>
      <c r="O750" s="43"/>
      <c r="P750" s="43"/>
      <c r="Q750" s="44"/>
      <c r="R750" s="35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43"/>
      <c r="B751" s="40"/>
      <c r="C751" s="44"/>
      <c r="D751" s="45"/>
      <c r="E751" s="44"/>
      <c r="F751" s="43"/>
      <c r="G751" s="43"/>
      <c r="H751" s="43"/>
      <c r="I751" s="46"/>
      <c r="J751" s="47"/>
      <c r="K751" s="48"/>
      <c r="L751" s="49"/>
      <c r="M751" s="49"/>
      <c r="N751" s="50"/>
      <c r="O751" s="43"/>
      <c r="P751" s="43"/>
      <c r="Q751" s="44"/>
      <c r="R751" s="35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43"/>
      <c r="B752" s="40"/>
      <c r="C752" s="44"/>
      <c r="D752" s="45"/>
      <c r="E752" s="44"/>
      <c r="F752" s="43"/>
      <c r="G752" s="43"/>
      <c r="H752" s="43"/>
      <c r="I752" s="46"/>
      <c r="J752" s="47"/>
      <c r="K752" s="48"/>
      <c r="L752" s="49"/>
      <c r="M752" s="49"/>
      <c r="N752" s="50"/>
      <c r="O752" s="43"/>
      <c r="P752" s="43"/>
      <c r="Q752" s="44"/>
      <c r="R752" s="35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43"/>
      <c r="B753" s="40"/>
      <c r="C753" s="44"/>
      <c r="D753" s="45"/>
      <c r="E753" s="44"/>
      <c r="F753" s="43"/>
      <c r="G753" s="43"/>
      <c r="H753" s="43"/>
      <c r="I753" s="46"/>
      <c r="J753" s="47"/>
      <c r="K753" s="48"/>
      <c r="L753" s="49"/>
      <c r="M753" s="49"/>
      <c r="N753" s="50"/>
      <c r="O753" s="43"/>
      <c r="P753" s="43"/>
      <c r="Q753" s="44"/>
      <c r="R753" s="35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43"/>
      <c r="B754" s="40"/>
      <c r="C754" s="44"/>
      <c r="D754" s="45"/>
      <c r="E754" s="44"/>
      <c r="F754" s="43"/>
      <c r="G754" s="43"/>
      <c r="H754" s="43"/>
      <c r="I754" s="46"/>
      <c r="J754" s="47"/>
      <c r="K754" s="48"/>
      <c r="L754" s="49"/>
      <c r="M754" s="49"/>
      <c r="N754" s="50"/>
      <c r="O754" s="43"/>
      <c r="P754" s="43"/>
      <c r="Q754" s="44"/>
      <c r="R754" s="35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43"/>
      <c r="B755" s="40"/>
      <c r="C755" s="44"/>
      <c r="D755" s="45"/>
      <c r="E755" s="44"/>
      <c r="F755" s="43"/>
      <c r="G755" s="43"/>
      <c r="H755" s="43"/>
      <c r="I755" s="46"/>
      <c r="J755" s="47"/>
      <c r="K755" s="48"/>
      <c r="L755" s="49"/>
      <c r="M755" s="49"/>
      <c r="N755" s="50"/>
      <c r="O755" s="43"/>
      <c r="P755" s="43"/>
      <c r="Q755" s="44"/>
      <c r="R755" s="35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43"/>
      <c r="B756" s="40"/>
      <c r="C756" s="44"/>
      <c r="D756" s="45"/>
      <c r="E756" s="44"/>
      <c r="F756" s="43"/>
      <c r="G756" s="43"/>
      <c r="H756" s="43"/>
      <c r="I756" s="46"/>
      <c r="J756" s="47"/>
      <c r="K756" s="48"/>
      <c r="L756" s="49"/>
      <c r="M756" s="49"/>
      <c r="N756" s="50"/>
      <c r="O756" s="43"/>
      <c r="P756" s="43"/>
      <c r="Q756" s="44"/>
      <c r="R756" s="35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43"/>
      <c r="B757" s="40"/>
      <c r="C757" s="44"/>
      <c r="D757" s="45"/>
      <c r="E757" s="44"/>
      <c r="F757" s="43"/>
      <c r="G757" s="43"/>
      <c r="H757" s="43"/>
      <c r="I757" s="46"/>
      <c r="J757" s="47"/>
      <c r="K757" s="48"/>
      <c r="L757" s="49"/>
      <c r="M757" s="49"/>
      <c r="N757" s="50"/>
      <c r="O757" s="43"/>
      <c r="P757" s="43"/>
      <c r="Q757" s="44"/>
      <c r="R757" s="35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43"/>
      <c r="B758" s="40"/>
      <c r="C758" s="44"/>
      <c r="D758" s="45"/>
      <c r="E758" s="44"/>
      <c r="F758" s="43"/>
      <c r="G758" s="43"/>
      <c r="H758" s="43"/>
      <c r="I758" s="46"/>
      <c r="J758" s="47"/>
      <c r="K758" s="48"/>
      <c r="L758" s="49"/>
      <c r="M758" s="49"/>
      <c r="N758" s="50"/>
      <c r="O758" s="43"/>
      <c r="P758" s="43"/>
      <c r="Q758" s="44"/>
      <c r="R758" s="35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43"/>
      <c r="B759" s="40"/>
      <c r="C759" s="44"/>
      <c r="D759" s="45"/>
      <c r="E759" s="44"/>
      <c r="F759" s="43"/>
      <c r="G759" s="43"/>
      <c r="H759" s="43"/>
      <c r="I759" s="46"/>
      <c r="J759" s="47"/>
      <c r="K759" s="48"/>
      <c r="L759" s="49"/>
      <c r="M759" s="49"/>
      <c r="N759" s="50"/>
      <c r="O759" s="43"/>
      <c r="P759" s="43"/>
      <c r="Q759" s="44"/>
      <c r="R759" s="35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43"/>
      <c r="B760" s="40"/>
      <c r="C760" s="44"/>
      <c r="D760" s="45"/>
      <c r="E760" s="44"/>
      <c r="F760" s="43"/>
      <c r="G760" s="43"/>
      <c r="H760" s="43"/>
      <c r="I760" s="46"/>
      <c r="J760" s="47"/>
      <c r="K760" s="48"/>
      <c r="L760" s="49"/>
      <c r="M760" s="49"/>
      <c r="N760" s="50"/>
      <c r="O760" s="43"/>
      <c r="P760" s="43"/>
      <c r="Q760" s="44"/>
      <c r="R760" s="35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43"/>
      <c r="B761" s="40"/>
      <c r="C761" s="44"/>
      <c r="D761" s="45"/>
      <c r="E761" s="44"/>
      <c r="F761" s="43"/>
      <c r="G761" s="43"/>
      <c r="H761" s="43"/>
      <c r="I761" s="46"/>
      <c r="J761" s="47"/>
      <c r="K761" s="48"/>
      <c r="L761" s="49"/>
      <c r="M761" s="49"/>
      <c r="N761" s="50"/>
      <c r="O761" s="43"/>
      <c r="P761" s="43"/>
      <c r="Q761" s="44"/>
      <c r="R761" s="35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43"/>
      <c r="B762" s="40"/>
      <c r="C762" s="44"/>
      <c r="D762" s="45"/>
      <c r="E762" s="44"/>
      <c r="F762" s="43"/>
      <c r="G762" s="43"/>
      <c r="H762" s="43"/>
      <c r="I762" s="46"/>
      <c r="J762" s="47"/>
      <c r="K762" s="48"/>
      <c r="L762" s="49"/>
      <c r="M762" s="49"/>
      <c r="N762" s="50"/>
      <c r="O762" s="43"/>
      <c r="P762" s="43"/>
      <c r="Q762" s="44"/>
      <c r="R762" s="35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43"/>
      <c r="B763" s="40"/>
      <c r="C763" s="44"/>
      <c r="D763" s="45"/>
      <c r="E763" s="44"/>
      <c r="F763" s="43"/>
      <c r="G763" s="43"/>
      <c r="H763" s="43"/>
      <c r="I763" s="46"/>
      <c r="J763" s="47"/>
      <c r="K763" s="48"/>
      <c r="L763" s="49"/>
      <c r="M763" s="49"/>
      <c r="N763" s="50"/>
      <c r="O763" s="43"/>
      <c r="P763" s="43"/>
      <c r="Q763" s="44"/>
      <c r="R763" s="35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43"/>
      <c r="B764" s="40"/>
      <c r="C764" s="44"/>
      <c r="D764" s="45"/>
      <c r="E764" s="44"/>
      <c r="F764" s="43"/>
      <c r="G764" s="43"/>
      <c r="H764" s="43"/>
      <c r="I764" s="46"/>
      <c r="J764" s="47"/>
      <c r="K764" s="48"/>
      <c r="L764" s="49"/>
      <c r="M764" s="49"/>
      <c r="N764" s="50"/>
      <c r="O764" s="43"/>
      <c r="P764" s="43"/>
      <c r="Q764" s="44"/>
      <c r="R764" s="35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43"/>
      <c r="B765" s="40"/>
      <c r="C765" s="44"/>
      <c r="D765" s="45"/>
      <c r="E765" s="44"/>
      <c r="F765" s="43"/>
      <c r="G765" s="43"/>
      <c r="H765" s="43"/>
      <c r="I765" s="46"/>
      <c r="J765" s="47"/>
      <c r="K765" s="48"/>
      <c r="L765" s="49"/>
      <c r="M765" s="49"/>
      <c r="N765" s="50"/>
      <c r="O765" s="43"/>
      <c r="P765" s="43"/>
      <c r="Q765" s="44"/>
      <c r="R765" s="35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43"/>
      <c r="B766" s="40"/>
      <c r="C766" s="44"/>
      <c r="D766" s="45"/>
      <c r="E766" s="44"/>
      <c r="F766" s="43"/>
      <c r="G766" s="43"/>
      <c r="H766" s="43"/>
      <c r="I766" s="46"/>
      <c r="J766" s="47"/>
      <c r="K766" s="48"/>
      <c r="L766" s="49"/>
      <c r="M766" s="49"/>
      <c r="N766" s="50"/>
      <c r="O766" s="43"/>
      <c r="P766" s="43"/>
      <c r="Q766" s="44"/>
      <c r="R766" s="35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43"/>
      <c r="B767" s="40"/>
      <c r="C767" s="44"/>
      <c r="D767" s="45"/>
      <c r="E767" s="44"/>
      <c r="F767" s="43"/>
      <c r="G767" s="43"/>
      <c r="H767" s="43"/>
      <c r="I767" s="46"/>
      <c r="J767" s="47"/>
      <c r="K767" s="48"/>
      <c r="L767" s="49"/>
      <c r="M767" s="49"/>
      <c r="N767" s="50"/>
      <c r="O767" s="43"/>
      <c r="P767" s="43"/>
      <c r="Q767" s="44"/>
      <c r="R767" s="35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43"/>
      <c r="B768" s="40"/>
      <c r="C768" s="44"/>
      <c r="D768" s="45"/>
      <c r="E768" s="44"/>
      <c r="F768" s="43"/>
      <c r="G768" s="43"/>
      <c r="H768" s="43"/>
      <c r="I768" s="46"/>
      <c r="J768" s="47"/>
      <c r="K768" s="48"/>
      <c r="L768" s="49"/>
      <c r="M768" s="49"/>
      <c r="N768" s="50"/>
      <c r="O768" s="43"/>
      <c r="P768" s="43"/>
      <c r="Q768" s="44"/>
      <c r="R768" s="35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43"/>
      <c r="B769" s="40"/>
      <c r="C769" s="44"/>
      <c r="D769" s="45"/>
      <c r="E769" s="44"/>
      <c r="F769" s="43"/>
      <c r="G769" s="43"/>
      <c r="H769" s="43"/>
      <c r="I769" s="46"/>
      <c r="J769" s="47"/>
      <c r="K769" s="48"/>
      <c r="L769" s="49"/>
      <c r="M769" s="49"/>
      <c r="N769" s="50"/>
      <c r="O769" s="43"/>
      <c r="P769" s="43"/>
      <c r="Q769" s="44"/>
      <c r="R769" s="35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43"/>
      <c r="B770" s="40"/>
      <c r="C770" s="44"/>
      <c r="D770" s="45"/>
      <c r="E770" s="44"/>
      <c r="F770" s="43"/>
      <c r="G770" s="43"/>
      <c r="H770" s="43"/>
      <c r="I770" s="46"/>
      <c r="J770" s="47"/>
      <c r="K770" s="48"/>
      <c r="L770" s="49"/>
      <c r="M770" s="49"/>
      <c r="N770" s="50"/>
      <c r="O770" s="43"/>
      <c r="P770" s="43"/>
      <c r="Q770" s="44"/>
      <c r="R770" s="35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43"/>
      <c r="B771" s="40"/>
      <c r="C771" s="44"/>
      <c r="D771" s="45"/>
      <c r="E771" s="44"/>
      <c r="F771" s="43"/>
      <c r="G771" s="43"/>
      <c r="H771" s="43"/>
      <c r="I771" s="46"/>
      <c r="J771" s="47"/>
      <c r="K771" s="48"/>
      <c r="L771" s="49"/>
      <c r="M771" s="49"/>
      <c r="N771" s="50"/>
      <c r="O771" s="43"/>
      <c r="P771" s="43"/>
      <c r="Q771" s="44"/>
      <c r="R771" s="35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43"/>
      <c r="B772" s="40"/>
      <c r="C772" s="44"/>
      <c r="D772" s="45"/>
      <c r="E772" s="44"/>
      <c r="F772" s="43"/>
      <c r="G772" s="43"/>
      <c r="H772" s="43"/>
      <c r="I772" s="46"/>
      <c r="J772" s="47"/>
      <c r="K772" s="48"/>
      <c r="L772" s="49"/>
      <c r="M772" s="49"/>
      <c r="N772" s="50"/>
      <c r="O772" s="43"/>
      <c r="P772" s="43"/>
      <c r="Q772" s="44"/>
      <c r="R772" s="35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43"/>
      <c r="B773" s="40"/>
      <c r="C773" s="44"/>
      <c r="D773" s="45"/>
      <c r="E773" s="44"/>
      <c r="F773" s="43"/>
      <c r="G773" s="43"/>
      <c r="H773" s="43"/>
      <c r="I773" s="46"/>
      <c r="J773" s="47"/>
      <c r="K773" s="48"/>
      <c r="L773" s="49"/>
      <c r="M773" s="49"/>
      <c r="N773" s="50"/>
      <c r="O773" s="43"/>
      <c r="P773" s="43"/>
      <c r="Q773" s="44"/>
      <c r="R773" s="35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43"/>
      <c r="B774" s="40"/>
      <c r="C774" s="44"/>
      <c r="D774" s="45"/>
      <c r="E774" s="44"/>
      <c r="F774" s="43"/>
      <c r="G774" s="43"/>
      <c r="H774" s="43"/>
      <c r="I774" s="46"/>
      <c r="J774" s="47"/>
      <c r="K774" s="48"/>
      <c r="L774" s="49"/>
      <c r="M774" s="49"/>
      <c r="N774" s="50"/>
      <c r="O774" s="43"/>
      <c r="P774" s="43"/>
      <c r="Q774" s="44"/>
      <c r="R774" s="35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43"/>
      <c r="B775" s="40"/>
      <c r="C775" s="44"/>
      <c r="D775" s="45"/>
      <c r="E775" s="44"/>
      <c r="F775" s="43"/>
      <c r="G775" s="43"/>
      <c r="H775" s="43"/>
      <c r="I775" s="46"/>
      <c r="J775" s="47"/>
      <c r="K775" s="48"/>
      <c r="L775" s="49"/>
      <c r="M775" s="49"/>
      <c r="N775" s="50"/>
      <c r="O775" s="43"/>
      <c r="P775" s="43"/>
      <c r="Q775" s="44"/>
      <c r="R775" s="35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43"/>
      <c r="B776" s="40"/>
      <c r="C776" s="44"/>
      <c r="D776" s="45"/>
      <c r="E776" s="44"/>
      <c r="F776" s="43"/>
      <c r="G776" s="43"/>
      <c r="H776" s="43"/>
      <c r="I776" s="46"/>
      <c r="J776" s="47"/>
      <c r="K776" s="48"/>
      <c r="L776" s="49"/>
      <c r="M776" s="49"/>
      <c r="N776" s="50"/>
      <c r="O776" s="43"/>
      <c r="P776" s="43"/>
      <c r="Q776" s="44"/>
      <c r="R776" s="35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43"/>
      <c r="B777" s="40"/>
      <c r="C777" s="44"/>
      <c r="D777" s="45"/>
      <c r="E777" s="44"/>
      <c r="F777" s="43"/>
      <c r="G777" s="43"/>
      <c r="H777" s="43"/>
      <c r="I777" s="46"/>
      <c r="J777" s="47"/>
      <c r="K777" s="48"/>
      <c r="L777" s="49"/>
      <c r="M777" s="49"/>
      <c r="N777" s="50"/>
      <c r="O777" s="43"/>
      <c r="P777" s="43"/>
      <c r="Q777" s="44"/>
      <c r="R777" s="35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43"/>
      <c r="B778" s="40"/>
      <c r="C778" s="44"/>
      <c r="D778" s="45"/>
      <c r="E778" s="44"/>
      <c r="F778" s="43"/>
      <c r="G778" s="43"/>
      <c r="H778" s="43"/>
      <c r="I778" s="46"/>
      <c r="J778" s="47"/>
      <c r="K778" s="48"/>
      <c r="L778" s="49"/>
      <c r="M778" s="49"/>
      <c r="N778" s="50"/>
      <c r="O778" s="43"/>
      <c r="P778" s="43"/>
      <c r="Q778" s="44"/>
      <c r="R778" s="35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43"/>
      <c r="B779" s="40"/>
      <c r="C779" s="44"/>
      <c r="D779" s="45"/>
      <c r="E779" s="44"/>
      <c r="F779" s="43"/>
      <c r="G779" s="43"/>
      <c r="H779" s="43"/>
      <c r="I779" s="46"/>
      <c r="J779" s="47"/>
      <c r="K779" s="48"/>
      <c r="L779" s="49"/>
      <c r="M779" s="49"/>
      <c r="N779" s="50"/>
      <c r="O779" s="43"/>
      <c r="P779" s="43"/>
      <c r="Q779" s="44"/>
      <c r="R779" s="35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43"/>
      <c r="B780" s="40"/>
      <c r="C780" s="44"/>
      <c r="D780" s="45"/>
      <c r="E780" s="44"/>
      <c r="F780" s="43"/>
      <c r="G780" s="43"/>
      <c r="H780" s="43"/>
      <c r="I780" s="46"/>
      <c r="J780" s="47"/>
      <c r="K780" s="48"/>
      <c r="L780" s="49"/>
      <c r="M780" s="49"/>
      <c r="N780" s="50"/>
      <c r="O780" s="43"/>
      <c r="P780" s="43"/>
      <c r="Q780" s="44"/>
      <c r="R780" s="35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43"/>
      <c r="B781" s="40"/>
      <c r="C781" s="44"/>
      <c r="D781" s="45"/>
      <c r="E781" s="44"/>
      <c r="F781" s="43"/>
      <c r="G781" s="43"/>
      <c r="H781" s="43"/>
      <c r="I781" s="46"/>
      <c r="J781" s="47"/>
      <c r="K781" s="48"/>
      <c r="L781" s="49"/>
      <c r="M781" s="49"/>
      <c r="N781" s="50"/>
      <c r="O781" s="43"/>
      <c r="P781" s="43"/>
      <c r="Q781" s="44"/>
      <c r="R781" s="35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43"/>
      <c r="B782" s="40"/>
      <c r="C782" s="44"/>
      <c r="D782" s="45"/>
      <c r="E782" s="44"/>
      <c r="F782" s="43"/>
      <c r="G782" s="43"/>
      <c r="H782" s="43"/>
      <c r="I782" s="46"/>
      <c r="J782" s="47"/>
      <c r="K782" s="48"/>
      <c r="L782" s="49"/>
      <c r="M782" s="49"/>
      <c r="N782" s="50"/>
      <c r="O782" s="43"/>
      <c r="P782" s="43"/>
      <c r="Q782" s="44"/>
      <c r="R782" s="35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43"/>
      <c r="B783" s="40"/>
      <c r="C783" s="44"/>
      <c r="D783" s="45"/>
      <c r="E783" s="44"/>
      <c r="F783" s="43"/>
      <c r="G783" s="43"/>
      <c r="H783" s="43"/>
      <c r="I783" s="46"/>
      <c r="J783" s="47"/>
      <c r="K783" s="48"/>
      <c r="L783" s="49"/>
      <c r="M783" s="49"/>
      <c r="N783" s="50"/>
      <c r="O783" s="43"/>
      <c r="P783" s="43"/>
      <c r="Q783" s="44"/>
      <c r="R783" s="35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43"/>
      <c r="B784" s="40"/>
      <c r="C784" s="44"/>
      <c r="D784" s="45"/>
      <c r="E784" s="44"/>
      <c r="F784" s="43"/>
      <c r="G784" s="43"/>
      <c r="H784" s="43"/>
      <c r="I784" s="46"/>
      <c r="J784" s="47"/>
      <c r="K784" s="48"/>
      <c r="L784" s="49"/>
      <c r="M784" s="49"/>
      <c r="N784" s="50"/>
      <c r="O784" s="43"/>
      <c r="P784" s="43"/>
      <c r="Q784" s="44"/>
      <c r="R784" s="35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43"/>
      <c r="B785" s="40"/>
      <c r="C785" s="44"/>
      <c r="D785" s="45"/>
      <c r="E785" s="44"/>
      <c r="F785" s="43"/>
      <c r="G785" s="43"/>
      <c r="H785" s="43"/>
      <c r="I785" s="46"/>
      <c r="J785" s="47"/>
      <c r="K785" s="48"/>
      <c r="L785" s="49"/>
      <c r="M785" s="49"/>
      <c r="N785" s="50"/>
      <c r="O785" s="43"/>
      <c r="P785" s="43"/>
      <c r="Q785" s="44"/>
      <c r="R785" s="35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43"/>
      <c r="B786" s="40"/>
      <c r="C786" s="44"/>
      <c r="D786" s="45"/>
      <c r="E786" s="44"/>
      <c r="F786" s="43"/>
      <c r="G786" s="43"/>
      <c r="H786" s="43"/>
      <c r="I786" s="46"/>
      <c r="J786" s="47"/>
      <c r="K786" s="48"/>
      <c r="L786" s="49"/>
      <c r="M786" s="49"/>
      <c r="N786" s="50"/>
      <c r="O786" s="43"/>
      <c r="P786" s="43"/>
      <c r="Q786" s="44"/>
      <c r="R786" s="35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43"/>
      <c r="B787" s="40"/>
      <c r="C787" s="44"/>
      <c r="D787" s="45"/>
      <c r="E787" s="44"/>
      <c r="F787" s="43"/>
      <c r="G787" s="43"/>
      <c r="H787" s="43"/>
      <c r="I787" s="46"/>
      <c r="J787" s="47"/>
      <c r="K787" s="48"/>
      <c r="L787" s="49"/>
      <c r="M787" s="49"/>
      <c r="N787" s="50"/>
      <c r="O787" s="43"/>
      <c r="P787" s="43"/>
      <c r="Q787" s="44"/>
      <c r="R787" s="35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43"/>
      <c r="B788" s="40"/>
      <c r="C788" s="44"/>
      <c r="D788" s="45"/>
      <c r="E788" s="44"/>
      <c r="F788" s="43"/>
      <c r="G788" s="43"/>
      <c r="H788" s="43"/>
      <c r="I788" s="46"/>
      <c r="J788" s="47"/>
      <c r="K788" s="48"/>
      <c r="L788" s="49"/>
      <c r="M788" s="49"/>
      <c r="N788" s="50"/>
      <c r="O788" s="43"/>
      <c r="P788" s="43"/>
      <c r="Q788" s="44"/>
      <c r="R788" s="35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43"/>
      <c r="B789" s="40"/>
      <c r="C789" s="44"/>
      <c r="D789" s="45"/>
      <c r="E789" s="44"/>
      <c r="F789" s="43"/>
      <c r="G789" s="43"/>
      <c r="H789" s="43"/>
      <c r="I789" s="46"/>
      <c r="J789" s="47"/>
      <c r="K789" s="48"/>
      <c r="L789" s="49"/>
      <c r="M789" s="49"/>
      <c r="N789" s="50"/>
      <c r="O789" s="43"/>
      <c r="P789" s="43"/>
      <c r="Q789" s="44"/>
      <c r="R789" s="35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43"/>
      <c r="B790" s="40"/>
      <c r="C790" s="44"/>
      <c r="D790" s="45"/>
      <c r="E790" s="44"/>
      <c r="F790" s="43"/>
      <c r="G790" s="43"/>
      <c r="H790" s="43"/>
      <c r="I790" s="46"/>
      <c r="J790" s="47"/>
      <c r="K790" s="48"/>
      <c r="L790" s="49"/>
      <c r="M790" s="49"/>
      <c r="N790" s="50"/>
      <c r="O790" s="43"/>
      <c r="P790" s="43"/>
      <c r="Q790" s="44"/>
      <c r="R790" s="35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43"/>
      <c r="B791" s="40"/>
      <c r="C791" s="44"/>
      <c r="D791" s="45"/>
      <c r="E791" s="44"/>
      <c r="F791" s="43"/>
      <c r="G791" s="43"/>
      <c r="H791" s="43"/>
      <c r="I791" s="46"/>
      <c r="J791" s="47"/>
      <c r="K791" s="48"/>
      <c r="L791" s="49"/>
      <c r="M791" s="49"/>
      <c r="N791" s="50"/>
      <c r="O791" s="43"/>
      <c r="P791" s="43"/>
      <c r="Q791" s="44"/>
      <c r="R791" s="35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43"/>
      <c r="B792" s="40"/>
      <c r="C792" s="44"/>
      <c r="D792" s="45"/>
      <c r="E792" s="44"/>
      <c r="F792" s="43"/>
      <c r="G792" s="43"/>
      <c r="H792" s="43"/>
      <c r="I792" s="46"/>
      <c r="J792" s="47"/>
      <c r="K792" s="48"/>
      <c r="L792" s="49"/>
      <c r="M792" s="49"/>
      <c r="N792" s="50"/>
      <c r="O792" s="43"/>
      <c r="P792" s="43"/>
      <c r="Q792" s="44"/>
      <c r="R792" s="35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43"/>
      <c r="B793" s="40"/>
      <c r="C793" s="44"/>
      <c r="D793" s="45"/>
      <c r="E793" s="44"/>
      <c r="F793" s="43"/>
      <c r="G793" s="43"/>
      <c r="H793" s="43"/>
      <c r="I793" s="46"/>
      <c r="J793" s="47"/>
      <c r="K793" s="48"/>
      <c r="L793" s="49"/>
      <c r="M793" s="49"/>
      <c r="N793" s="50"/>
      <c r="O793" s="43"/>
      <c r="P793" s="43"/>
      <c r="Q793" s="44"/>
      <c r="R793" s="35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43"/>
      <c r="B794" s="40"/>
      <c r="C794" s="44"/>
      <c r="D794" s="45"/>
      <c r="E794" s="44"/>
      <c r="F794" s="43"/>
      <c r="G794" s="43"/>
      <c r="H794" s="43"/>
      <c r="I794" s="46"/>
      <c r="J794" s="47"/>
      <c r="K794" s="48"/>
      <c r="L794" s="49"/>
      <c r="M794" s="49"/>
      <c r="N794" s="50"/>
      <c r="O794" s="43"/>
      <c r="P794" s="43"/>
      <c r="Q794" s="44"/>
      <c r="R794" s="35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43"/>
      <c r="B795" s="40"/>
      <c r="C795" s="44"/>
      <c r="D795" s="45"/>
      <c r="E795" s="44"/>
      <c r="F795" s="43"/>
      <c r="G795" s="43"/>
      <c r="H795" s="43"/>
      <c r="I795" s="46"/>
      <c r="J795" s="47"/>
      <c r="K795" s="48"/>
      <c r="L795" s="49"/>
      <c r="M795" s="49"/>
      <c r="N795" s="50"/>
      <c r="O795" s="43"/>
      <c r="P795" s="43"/>
      <c r="Q795" s="44"/>
      <c r="R795" s="35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43"/>
      <c r="B796" s="40"/>
      <c r="C796" s="44"/>
      <c r="D796" s="45"/>
      <c r="E796" s="44"/>
      <c r="F796" s="43"/>
      <c r="G796" s="43"/>
      <c r="H796" s="43"/>
      <c r="I796" s="46"/>
      <c r="J796" s="47"/>
      <c r="K796" s="48"/>
      <c r="L796" s="49"/>
      <c r="M796" s="49"/>
      <c r="N796" s="50"/>
      <c r="O796" s="43"/>
      <c r="P796" s="43"/>
      <c r="Q796" s="44"/>
      <c r="R796" s="35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43"/>
      <c r="B797" s="40"/>
      <c r="C797" s="44"/>
      <c r="D797" s="45"/>
      <c r="E797" s="44"/>
      <c r="F797" s="43"/>
      <c r="G797" s="43"/>
      <c r="H797" s="43"/>
      <c r="I797" s="46"/>
      <c r="J797" s="47"/>
      <c r="K797" s="48"/>
      <c r="L797" s="49"/>
      <c r="M797" s="49"/>
      <c r="N797" s="50"/>
      <c r="O797" s="43"/>
      <c r="P797" s="43"/>
      <c r="Q797" s="44"/>
      <c r="R797" s="35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43"/>
      <c r="B798" s="40"/>
      <c r="C798" s="44"/>
      <c r="D798" s="45"/>
      <c r="E798" s="44"/>
      <c r="F798" s="43"/>
      <c r="G798" s="43"/>
      <c r="H798" s="43"/>
      <c r="I798" s="46"/>
      <c r="J798" s="47"/>
      <c r="K798" s="48"/>
      <c r="L798" s="49"/>
      <c r="M798" s="49"/>
      <c r="N798" s="50"/>
      <c r="O798" s="43"/>
      <c r="P798" s="43"/>
      <c r="Q798" s="44"/>
      <c r="R798" s="35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43"/>
      <c r="B799" s="40"/>
      <c r="C799" s="44"/>
      <c r="D799" s="45"/>
      <c r="E799" s="44"/>
      <c r="F799" s="43"/>
      <c r="G799" s="43"/>
      <c r="H799" s="43"/>
      <c r="I799" s="46"/>
      <c r="J799" s="47"/>
      <c r="K799" s="48"/>
      <c r="L799" s="49"/>
      <c r="M799" s="49"/>
      <c r="N799" s="50"/>
      <c r="O799" s="43"/>
      <c r="P799" s="43"/>
      <c r="Q799" s="44"/>
      <c r="R799" s="35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43"/>
      <c r="B800" s="40"/>
      <c r="C800" s="44"/>
      <c r="D800" s="45"/>
      <c r="E800" s="44"/>
      <c r="F800" s="43"/>
      <c r="G800" s="43"/>
      <c r="H800" s="43"/>
      <c r="I800" s="46"/>
      <c r="J800" s="47"/>
      <c r="K800" s="48"/>
      <c r="L800" s="49"/>
      <c r="M800" s="49"/>
      <c r="N800" s="50"/>
      <c r="O800" s="43"/>
      <c r="P800" s="43"/>
      <c r="Q800" s="44"/>
      <c r="R800" s="35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43"/>
      <c r="B801" s="40"/>
      <c r="C801" s="44"/>
      <c r="D801" s="45"/>
      <c r="E801" s="44"/>
      <c r="F801" s="43"/>
      <c r="G801" s="43"/>
      <c r="H801" s="43"/>
      <c r="I801" s="46"/>
      <c r="J801" s="47"/>
      <c r="K801" s="48"/>
      <c r="L801" s="49"/>
      <c r="M801" s="49"/>
      <c r="N801" s="50"/>
      <c r="O801" s="43"/>
      <c r="P801" s="43"/>
      <c r="Q801" s="44"/>
      <c r="R801" s="35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43"/>
      <c r="B802" s="40"/>
      <c r="C802" s="44"/>
      <c r="D802" s="45"/>
      <c r="E802" s="44"/>
      <c r="F802" s="43"/>
      <c r="G802" s="43"/>
      <c r="H802" s="43"/>
      <c r="I802" s="46"/>
      <c r="J802" s="47"/>
      <c r="K802" s="48"/>
      <c r="L802" s="49"/>
      <c r="M802" s="49"/>
      <c r="N802" s="50"/>
      <c r="O802" s="43"/>
      <c r="P802" s="43"/>
      <c r="Q802" s="44"/>
      <c r="R802" s="35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43"/>
      <c r="B803" s="40"/>
      <c r="C803" s="44"/>
      <c r="D803" s="45"/>
      <c r="E803" s="44"/>
      <c r="F803" s="43"/>
      <c r="G803" s="43"/>
      <c r="H803" s="43"/>
      <c r="I803" s="46"/>
      <c r="J803" s="47"/>
      <c r="K803" s="48"/>
      <c r="L803" s="49"/>
      <c r="M803" s="49"/>
      <c r="N803" s="50"/>
      <c r="O803" s="43"/>
      <c r="P803" s="43"/>
      <c r="Q803" s="44"/>
      <c r="R803" s="35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43"/>
      <c r="B804" s="40"/>
      <c r="C804" s="44"/>
      <c r="D804" s="45"/>
      <c r="E804" s="44"/>
      <c r="F804" s="43"/>
      <c r="G804" s="43"/>
      <c r="H804" s="43"/>
      <c r="I804" s="46"/>
      <c r="J804" s="47"/>
      <c r="K804" s="48"/>
      <c r="L804" s="49"/>
      <c r="M804" s="49"/>
      <c r="N804" s="50"/>
      <c r="O804" s="43"/>
      <c r="P804" s="43"/>
      <c r="Q804" s="44"/>
      <c r="R804" s="35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43"/>
      <c r="B805" s="40"/>
      <c r="C805" s="44"/>
      <c r="D805" s="45"/>
      <c r="E805" s="44"/>
      <c r="F805" s="43"/>
      <c r="G805" s="43"/>
      <c r="H805" s="43"/>
      <c r="I805" s="46"/>
      <c r="J805" s="47"/>
      <c r="K805" s="48"/>
      <c r="L805" s="49"/>
      <c r="M805" s="49"/>
      <c r="N805" s="50"/>
      <c r="O805" s="43"/>
      <c r="P805" s="43"/>
      <c r="Q805" s="44"/>
      <c r="R805" s="35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43"/>
      <c r="B806" s="40"/>
      <c r="C806" s="44"/>
      <c r="D806" s="45"/>
      <c r="E806" s="44"/>
      <c r="F806" s="43"/>
      <c r="G806" s="43"/>
      <c r="H806" s="43"/>
      <c r="I806" s="46"/>
      <c r="J806" s="47"/>
      <c r="K806" s="48"/>
      <c r="L806" s="49"/>
      <c r="M806" s="49"/>
      <c r="N806" s="50"/>
      <c r="O806" s="43"/>
      <c r="P806" s="43"/>
      <c r="Q806" s="44"/>
      <c r="R806" s="35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43"/>
      <c r="B807" s="40"/>
      <c r="C807" s="44"/>
      <c r="D807" s="45"/>
      <c r="E807" s="44"/>
      <c r="F807" s="43"/>
      <c r="G807" s="43"/>
      <c r="H807" s="43"/>
      <c r="I807" s="46"/>
      <c r="J807" s="47"/>
      <c r="K807" s="48"/>
      <c r="L807" s="49"/>
      <c r="M807" s="49"/>
      <c r="N807" s="50"/>
      <c r="O807" s="43"/>
      <c r="P807" s="43"/>
      <c r="Q807" s="44"/>
      <c r="R807" s="35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43"/>
      <c r="B808" s="40"/>
      <c r="C808" s="44"/>
      <c r="D808" s="45"/>
      <c r="E808" s="44"/>
      <c r="F808" s="43"/>
      <c r="G808" s="43"/>
      <c r="H808" s="43"/>
      <c r="I808" s="46"/>
      <c r="J808" s="47"/>
      <c r="K808" s="48"/>
      <c r="L808" s="49"/>
      <c r="M808" s="49"/>
      <c r="N808" s="50"/>
      <c r="O808" s="43"/>
      <c r="P808" s="43"/>
      <c r="Q808" s="44"/>
      <c r="R808" s="35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43"/>
      <c r="B809" s="40"/>
      <c r="C809" s="44"/>
      <c r="D809" s="45"/>
      <c r="E809" s="44"/>
      <c r="F809" s="43"/>
      <c r="G809" s="43"/>
      <c r="H809" s="43"/>
      <c r="I809" s="46"/>
      <c r="J809" s="47"/>
      <c r="K809" s="48"/>
      <c r="L809" s="49"/>
      <c r="M809" s="49"/>
      <c r="N809" s="50"/>
      <c r="O809" s="43"/>
      <c r="P809" s="43"/>
      <c r="Q809" s="44"/>
      <c r="R809" s="35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43"/>
      <c r="B810" s="40"/>
      <c r="C810" s="44"/>
      <c r="D810" s="45"/>
      <c r="E810" s="44"/>
      <c r="F810" s="43"/>
      <c r="G810" s="43"/>
      <c r="H810" s="43"/>
      <c r="I810" s="46"/>
      <c r="J810" s="47"/>
      <c r="K810" s="48"/>
      <c r="L810" s="49"/>
      <c r="M810" s="49"/>
      <c r="N810" s="50"/>
      <c r="O810" s="43"/>
      <c r="P810" s="43"/>
      <c r="Q810" s="44"/>
      <c r="R810" s="35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43"/>
      <c r="B811" s="40"/>
      <c r="C811" s="44"/>
      <c r="D811" s="45"/>
      <c r="E811" s="44"/>
      <c r="F811" s="43"/>
      <c r="G811" s="43"/>
      <c r="H811" s="43"/>
      <c r="I811" s="46"/>
      <c r="J811" s="47"/>
      <c r="K811" s="48"/>
      <c r="L811" s="49"/>
      <c r="M811" s="49"/>
      <c r="N811" s="50"/>
      <c r="O811" s="43"/>
      <c r="P811" s="43"/>
      <c r="Q811" s="44"/>
      <c r="R811" s="35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43"/>
      <c r="B812" s="40"/>
      <c r="C812" s="44"/>
      <c r="D812" s="45"/>
      <c r="E812" s="44"/>
      <c r="F812" s="43"/>
      <c r="G812" s="43"/>
      <c r="H812" s="43"/>
      <c r="I812" s="46"/>
      <c r="J812" s="47"/>
      <c r="K812" s="48"/>
      <c r="L812" s="49"/>
      <c r="M812" s="49"/>
      <c r="N812" s="50"/>
      <c r="O812" s="43"/>
      <c r="P812" s="43"/>
      <c r="Q812" s="44"/>
      <c r="R812" s="35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43"/>
      <c r="B813" s="40"/>
      <c r="C813" s="44"/>
      <c r="D813" s="45"/>
      <c r="E813" s="44"/>
      <c r="F813" s="43"/>
      <c r="G813" s="43"/>
      <c r="H813" s="43"/>
      <c r="I813" s="46"/>
      <c r="J813" s="47"/>
      <c r="K813" s="48"/>
      <c r="L813" s="49"/>
      <c r="M813" s="49"/>
      <c r="N813" s="50"/>
      <c r="O813" s="43"/>
      <c r="P813" s="43"/>
      <c r="Q813" s="44"/>
      <c r="R813" s="35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43"/>
      <c r="B814" s="40"/>
      <c r="C814" s="44"/>
      <c r="D814" s="45"/>
      <c r="E814" s="44"/>
      <c r="F814" s="43"/>
      <c r="G814" s="43"/>
      <c r="H814" s="43"/>
      <c r="I814" s="46"/>
      <c r="J814" s="47"/>
      <c r="K814" s="48"/>
      <c r="L814" s="49"/>
      <c r="M814" s="49"/>
      <c r="N814" s="50"/>
      <c r="O814" s="43"/>
      <c r="P814" s="43"/>
      <c r="Q814" s="44"/>
      <c r="R814" s="35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43"/>
      <c r="B815" s="40"/>
      <c r="C815" s="44"/>
      <c r="D815" s="45"/>
      <c r="E815" s="44"/>
      <c r="F815" s="43"/>
      <c r="G815" s="43"/>
      <c r="H815" s="43"/>
      <c r="I815" s="46"/>
      <c r="J815" s="47"/>
      <c r="K815" s="48"/>
      <c r="L815" s="49"/>
      <c r="M815" s="49"/>
      <c r="N815" s="50"/>
      <c r="O815" s="43"/>
      <c r="P815" s="43"/>
      <c r="Q815" s="44"/>
      <c r="R815" s="35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43"/>
      <c r="B816" s="40"/>
      <c r="C816" s="44"/>
      <c r="D816" s="45"/>
      <c r="E816" s="44"/>
      <c r="F816" s="43"/>
      <c r="G816" s="43"/>
      <c r="H816" s="43"/>
      <c r="I816" s="46"/>
      <c r="J816" s="47"/>
      <c r="K816" s="48"/>
      <c r="L816" s="49"/>
      <c r="M816" s="49"/>
      <c r="N816" s="50"/>
      <c r="O816" s="43"/>
      <c r="P816" s="43"/>
      <c r="Q816" s="44"/>
      <c r="R816" s="35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43"/>
      <c r="B817" s="40"/>
      <c r="C817" s="44"/>
      <c r="D817" s="45"/>
      <c r="E817" s="44"/>
      <c r="F817" s="43"/>
      <c r="G817" s="43"/>
      <c r="H817" s="43"/>
      <c r="I817" s="46"/>
      <c r="J817" s="47"/>
      <c r="K817" s="48"/>
      <c r="L817" s="49"/>
      <c r="M817" s="49"/>
      <c r="N817" s="50"/>
      <c r="O817" s="43"/>
      <c r="P817" s="43"/>
      <c r="Q817" s="44"/>
      <c r="R817" s="35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43"/>
      <c r="B818" s="40"/>
      <c r="C818" s="44"/>
      <c r="D818" s="45"/>
      <c r="E818" s="44"/>
      <c r="F818" s="43"/>
      <c r="G818" s="43"/>
      <c r="H818" s="43"/>
      <c r="I818" s="46"/>
      <c r="J818" s="47"/>
      <c r="K818" s="48"/>
      <c r="L818" s="49"/>
      <c r="M818" s="49"/>
      <c r="N818" s="50"/>
      <c r="O818" s="43"/>
      <c r="P818" s="43"/>
      <c r="Q818" s="44"/>
      <c r="R818" s="35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43"/>
      <c r="B819" s="40"/>
      <c r="C819" s="44"/>
      <c r="D819" s="45"/>
      <c r="E819" s="44"/>
      <c r="F819" s="43"/>
      <c r="G819" s="43"/>
      <c r="H819" s="43"/>
      <c r="I819" s="46"/>
      <c r="J819" s="47"/>
      <c r="K819" s="48"/>
      <c r="L819" s="49"/>
      <c r="M819" s="49"/>
      <c r="N819" s="50"/>
      <c r="O819" s="43"/>
      <c r="P819" s="43"/>
      <c r="Q819" s="44"/>
      <c r="R819" s="35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43"/>
      <c r="B820" s="40"/>
      <c r="C820" s="44"/>
      <c r="D820" s="45"/>
      <c r="E820" s="44"/>
      <c r="F820" s="43"/>
      <c r="G820" s="43"/>
      <c r="H820" s="43"/>
      <c r="I820" s="46"/>
      <c r="J820" s="47"/>
      <c r="K820" s="48"/>
      <c r="L820" s="49"/>
      <c r="M820" s="49"/>
      <c r="N820" s="50"/>
      <c r="O820" s="43"/>
      <c r="P820" s="43"/>
      <c r="Q820" s="44"/>
      <c r="R820" s="35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43"/>
      <c r="B821" s="40"/>
      <c r="C821" s="44"/>
      <c r="D821" s="45"/>
      <c r="E821" s="44"/>
      <c r="F821" s="43"/>
      <c r="G821" s="43"/>
      <c r="H821" s="43"/>
      <c r="I821" s="46"/>
      <c r="J821" s="47"/>
      <c r="K821" s="48"/>
      <c r="L821" s="49"/>
      <c r="M821" s="49"/>
      <c r="N821" s="50"/>
      <c r="O821" s="43"/>
      <c r="P821" s="43"/>
      <c r="Q821" s="44"/>
      <c r="R821" s="35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43"/>
      <c r="B822" s="40"/>
      <c r="C822" s="44"/>
      <c r="D822" s="45"/>
      <c r="E822" s="44"/>
      <c r="F822" s="43"/>
      <c r="G822" s="43"/>
      <c r="H822" s="43"/>
      <c r="I822" s="46"/>
      <c r="J822" s="47"/>
      <c r="K822" s="48"/>
      <c r="L822" s="49"/>
      <c r="M822" s="49"/>
      <c r="N822" s="50"/>
      <c r="O822" s="43"/>
      <c r="P822" s="43"/>
      <c r="Q822" s="44"/>
      <c r="R822" s="35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43"/>
      <c r="B823" s="40"/>
      <c r="C823" s="44"/>
      <c r="D823" s="45"/>
      <c r="E823" s="44"/>
      <c r="F823" s="43"/>
      <c r="G823" s="43"/>
      <c r="H823" s="43"/>
      <c r="I823" s="46"/>
      <c r="J823" s="47"/>
      <c r="K823" s="48"/>
      <c r="L823" s="49"/>
      <c r="M823" s="49"/>
      <c r="N823" s="50"/>
      <c r="O823" s="43"/>
      <c r="P823" s="43"/>
      <c r="Q823" s="44"/>
      <c r="R823" s="35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43"/>
      <c r="B824" s="40"/>
      <c r="C824" s="44"/>
      <c r="D824" s="45"/>
      <c r="E824" s="44"/>
      <c r="F824" s="43"/>
      <c r="G824" s="43"/>
      <c r="H824" s="43"/>
      <c r="I824" s="46"/>
      <c r="J824" s="47"/>
      <c r="K824" s="48"/>
      <c r="L824" s="49"/>
      <c r="M824" s="49"/>
      <c r="N824" s="50"/>
      <c r="O824" s="43"/>
      <c r="P824" s="43"/>
      <c r="Q824" s="44"/>
      <c r="R824" s="35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43"/>
      <c r="B825" s="40"/>
      <c r="C825" s="44"/>
      <c r="D825" s="45"/>
      <c r="E825" s="44"/>
      <c r="F825" s="43"/>
      <c r="G825" s="43"/>
      <c r="H825" s="43"/>
      <c r="I825" s="46"/>
      <c r="J825" s="47"/>
      <c r="K825" s="48"/>
      <c r="L825" s="49"/>
      <c r="M825" s="49"/>
      <c r="N825" s="50"/>
      <c r="O825" s="43"/>
      <c r="P825" s="43"/>
      <c r="Q825" s="44"/>
      <c r="R825" s="35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43"/>
      <c r="B826" s="40"/>
      <c r="C826" s="44"/>
      <c r="D826" s="45"/>
      <c r="E826" s="44"/>
      <c r="F826" s="43"/>
      <c r="G826" s="43"/>
      <c r="H826" s="43"/>
      <c r="I826" s="46"/>
      <c r="J826" s="47"/>
      <c r="K826" s="48"/>
      <c r="L826" s="49"/>
      <c r="M826" s="49"/>
      <c r="N826" s="50"/>
      <c r="O826" s="43"/>
      <c r="P826" s="43"/>
      <c r="Q826" s="44"/>
      <c r="R826" s="35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43"/>
      <c r="B827" s="40"/>
      <c r="C827" s="44"/>
      <c r="D827" s="45"/>
      <c r="E827" s="44"/>
      <c r="F827" s="43"/>
      <c r="G827" s="43"/>
      <c r="H827" s="43"/>
      <c r="I827" s="46"/>
      <c r="J827" s="47"/>
      <c r="K827" s="48"/>
      <c r="L827" s="49"/>
      <c r="M827" s="49"/>
      <c r="N827" s="50"/>
      <c r="O827" s="43"/>
      <c r="P827" s="43"/>
      <c r="Q827" s="44"/>
      <c r="R827" s="35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43"/>
      <c r="B828" s="40"/>
      <c r="C828" s="44"/>
      <c r="D828" s="45"/>
      <c r="E828" s="44"/>
      <c r="F828" s="43"/>
      <c r="G828" s="43"/>
      <c r="H828" s="43"/>
      <c r="I828" s="46"/>
      <c r="J828" s="47"/>
      <c r="K828" s="48"/>
      <c r="L828" s="49"/>
      <c r="M828" s="49"/>
      <c r="N828" s="50"/>
      <c r="O828" s="43"/>
      <c r="P828" s="43"/>
      <c r="Q828" s="44"/>
      <c r="R828" s="35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43"/>
      <c r="B829" s="40"/>
      <c r="C829" s="44"/>
      <c r="D829" s="45"/>
      <c r="E829" s="44"/>
      <c r="F829" s="43"/>
      <c r="G829" s="43"/>
      <c r="H829" s="43"/>
      <c r="I829" s="46"/>
      <c r="J829" s="47"/>
      <c r="K829" s="48"/>
      <c r="L829" s="49"/>
      <c r="M829" s="49"/>
      <c r="N829" s="50"/>
      <c r="O829" s="43"/>
      <c r="P829" s="43"/>
      <c r="Q829" s="44"/>
      <c r="R829" s="35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43"/>
      <c r="B830" s="40"/>
      <c r="C830" s="44"/>
      <c r="D830" s="45"/>
      <c r="E830" s="44"/>
      <c r="F830" s="43"/>
      <c r="G830" s="43"/>
      <c r="H830" s="43"/>
      <c r="I830" s="46"/>
      <c r="J830" s="47"/>
      <c r="K830" s="48"/>
      <c r="L830" s="49"/>
      <c r="M830" s="49"/>
      <c r="N830" s="50"/>
      <c r="O830" s="43"/>
      <c r="P830" s="43"/>
      <c r="Q830" s="44"/>
      <c r="R830" s="35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43"/>
      <c r="B831" s="40"/>
      <c r="C831" s="44"/>
      <c r="D831" s="45"/>
      <c r="E831" s="44"/>
      <c r="F831" s="43"/>
      <c r="G831" s="43"/>
      <c r="H831" s="43"/>
      <c r="I831" s="46"/>
      <c r="J831" s="47"/>
      <c r="K831" s="48"/>
      <c r="L831" s="49"/>
      <c r="M831" s="49"/>
      <c r="N831" s="50"/>
      <c r="O831" s="43"/>
      <c r="P831" s="43"/>
      <c r="Q831" s="44"/>
      <c r="R831" s="35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43"/>
      <c r="B832" s="40"/>
      <c r="C832" s="44"/>
      <c r="D832" s="45"/>
      <c r="E832" s="44"/>
      <c r="F832" s="43"/>
      <c r="G832" s="43"/>
      <c r="H832" s="43"/>
      <c r="I832" s="46"/>
      <c r="J832" s="47"/>
      <c r="K832" s="48"/>
      <c r="L832" s="49"/>
      <c r="M832" s="49"/>
      <c r="N832" s="50"/>
      <c r="O832" s="43"/>
      <c r="P832" s="43"/>
      <c r="Q832" s="44"/>
      <c r="R832" s="35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43"/>
      <c r="B833" s="40"/>
      <c r="C833" s="44"/>
      <c r="D833" s="45"/>
      <c r="E833" s="44"/>
      <c r="F833" s="43"/>
      <c r="G833" s="43"/>
      <c r="H833" s="43"/>
      <c r="I833" s="46"/>
      <c r="J833" s="47"/>
      <c r="K833" s="48"/>
      <c r="L833" s="49"/>
      <c r="M833" s="49"/>
      <c r="N833" s="50"/>
      <c r="O833" s="43"/>
      <c r="P833" s="43"/>
      <c r="Q833" s="44"/>
      <c r="R833" s="35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43"/>
      <c r="B834" s="40"/>
      <c r="C834" s="44"/>
      <c r="D834" s="45"/>
      <c r="E834" s="44"/>
      <c r="F834" s="43"/>
      <c r="G834" s="43"/>
      <c r="H834" s="43"/>
      <c r="I834" s="46"/>
      <c r="J834" s="47"/>
      <c r="K834" s="48"/>
      <c r="L834" s="49"/>
      <c r="M834" s="49"/>
      <c r="N834" s="50"/>
      <c r="O834" s="43"/>
      <c r="P834" s="43"/>
      <c r="Q834" s="44"/>
      <c r="R834" s="35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43"/>
      <c r="B835" s="40"/>
      <c r="C835" s="44"/>
      <c r="D835" s="45"/>
      <c r="E835" s="44"/>
      <c r="F835" s="43"/>
      <c r="G835" s="43"/>
      <c r="H835" s="43"/>
      <c r="I835" s="46"/>
      <c r="J835" s="47"/>
      <c r="K835" s="48"/>
      <c r="L835" s="49"/>
      <c r="M835" s="49"/>
      <c r="N835" s="50"/>
      <c r="O835" s="43"/>
      <c r="P835" s="43"/>
      <c r="Q835" s="44"/>
      <c r="R835" s="35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43"/>
      <c r="B836" s="40"/>
      <c r="C836" s="44"/>
      <c r="D836" s="45"/>
      <c r="E836" s="44"/>
      <c r="F836" s="43"/>
      <c r="G836" s="43"/>
      <c r="H836" s="43"/>
      <c r="I836" s="46"/>
      <c r="J836" s="47"/>
      <c r="K836" s="48"/>
      <c r="L836" s="49"/>
      <c r="M836" s="49"/>
      <c r="N836" s="50"/>
      <c r="O836" s="43"/>
      <c r="P836" s="43"/>
      <c r="Q836" s="44"/>
      <c r="R836" s="35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43"/>
      <c r="B837" s="40"/>
      <c r="C837" s="44"/>
      <c r="D837" s="45"/>
      <c r="E837" s="44"/>
      <c r="F837" s="43"/>
      <c r="G837" s="43"/>
      <c r="H837" s="43"/>
      <c r="I837" s="46"/>
      <c r="J837" s="47"/>
      <c r="K837" s="48"/>
      <c r="L837" s="49"/>
      <c r="M837" s="49"/>
      <c r="N837" s="50"/>
      <c r="O837" s="43"/>
      <c r="P837" s="43"/>
      <c r="Q837" s="44"/>
      <c r="R837" s="35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43"/>
      <c r="B838" s="40"/>
      <c r="C838" s="44"/>
      <c r="D838" s="45"/>
      <c r="E838" s="44"/>
      <c r="F838" s="43"/>
      <c r="G838" s="43"/>
      <c r="H838" s="43"/>
      <c r="I838" s="46"/>
      <c r="J838" s="47"/>
      <c r="K838" s="48"/>
      <c r="L838" s="49"/>
      <c r="M838" s="49"/>
      <c r="N838" s="50"/>
      <c r="O838" s="43"/>
      <c r="P838" s="43"/>
      <c r="Q838" s="44"/>
      <c r="R838" s="35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43"/>
      <c r="B839" s="40"/>
      <c r="C839" s="44"/>
      <c r="D839" s="45"/>
      <c r="E839" s="44"/>
      <c r="F839" s="43"/>
      <c r="G839" s="43"/>
      <c r="H839" s="43"/>
      <c r="I839" s="46"/>
      <c r="J839" s="47"/>
      <c r="K839" s="48"/>
      <c r="L839" s="49"/>
      <c r="M839" s="49"/>
      <c r="N839" s="50"/>
      <c r="O839" s="43"/>
      <c r="P839" s="43"/>
      <c r="Q839" s="44"/>
      <c r="R839" s="35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43"/>
      <c r="B840" s="40"/>
      <c r="C840" s="44"/>
      <c r="D840" s="45"/>
      <c r="E840" s="44"/>
      <c r="F840" s="43"/>
      <c r="G840" s="43"/>
      <c r="H840" s="43"/>
      <c r="I840" s="46"/>
      <c r="J840" s="47"/>
      <c r="K840" s="48"/>
      <c r="L840" s="49"/>
      <c r="M840" s="49"/>
      <c r="N840" s="50"/>
      <c r="O840" s="43"/>
      <c r="P840" s="43"/>
      <c r="Q840" s="44"/>
      <c r="R840" s="35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43"/>
      <c r="B841" s="40"/>
      <c r="C841" s="44"/>
      <c r="D841" s="45"/>
      <c r="E841" s="44"/>
      <c r="F841" s="43"/>
      <c r="G841" s="43"/>
      <c r="H841" s="43"/>
      <c r="I841" s="46"/>
      <c r="J841" s="47"/>
      <c r="K841" s="48"/>
      <c r="L841" s="49"/>
      <c r="M841" s="49"/>
      <c r="N841" s="50"/>
      <c r="O841" s="43"/>
      <c r="P841" s="43"/>
      <c r="Q841" s="44"/>
      <c r="R841" s="35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43"/>
      <c r="B842" s="40"/>
      <c r="C842" s="44"/>
      <c r="D842" s="45"/>
      <c r="E842" s="44"/>
      <c r="F842" s="43"/>
      <c r="G842" s="43"/>
      <c r="H842" s="43"/>
      <c r="I842" s="46"/>
      <c r="J842" s="47"/>
      <c r="K842" s="48"/>
      <c r="L842" s="49"/>
      <c r="M842" s="49"/>
      <c r="N842" s="50"/>
      <c r="O842" s="43"/>
      <c r="P842" s="43"/>
      <c r="Q842" s="44"/>
      <c r="R842" s="35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43"/>
      <c r="B843" s="40"/>
      <c r="C843" s="44"/>
      <c r="D843" s="45"/>
      <c r="E843" s="44"/>
      <c r="F843" s="43"/>
      <c r="G843" s="43"/>
      <c r="H843" s="43"/>
      <c r="I843" s="46"/>
      <c r="J843" s="47"/>
      <c r="K843" s="48"/>
      <c r="L843" s="49"/>
      <c r="M843" s="49"/>
      <c r="N843" s="50"/>
      <c r="O843" s="43"/>
      <c r="P843" s="43"/>
      <c r="Q843" s="44"/>
      <c r="R843" s="35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43"/>
      <c r="B844" s="40"/>
      <c r="C844" s="44"/>
      <c r="D844" s="45"/>
      <c r="E844" s="44"/>
      <c r="F844" s="43"/>
      <c r="G844" s="43"/>
      <c r="H844" s="43"/>
      <c r="I844" s="46"/>
      <c r="J844" s="47"/>
      <c r="K844" s="48"/>
      <c r="L844" s="49"/>
      <c r="M844" s="49"/>
      <c r="N844" s="50"/>
      <c r="O844" s="43"/>
      <c r="P844" s="43"/>
      <c r="Q844" s="44"/>
      <c r="R844" s="35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43"/>
      <c r="B845" s="40"/>
      <c r="C845" s="44"/>
      <c r="D845" s="45"/>
      <c r="E845" s="44"/>
      <c r="F845" s="43"/>
      <c r="G845" s="43"/>
      <c r="H845" s="43"/>
      <c r="I845" s="46"/>
      <c r="J845" s="47"/>
      <c r="K845" s="48"/>
      <c r="L845" s="49"/>
      <c r="M845" s="49"/>
      <c r="N845" s="50"/>
      <c r="O845" s="43"/>
      <c r="P845" s="43"/>
      <c r="Q845" s="44"/>
      <c r="R845" s="35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43"/>
      <c r="B846" s="40"/>
      <c r="C846" s="44"/>
      <c r="D846" s="45"/>
      <c r="E846" s="44"/>
      <c r="F846" s="43"/>
      <c r="G846" s="43"/>
      <c r="H846" s="43"/>
      <c r="I846" s="46"/>
      <c r="J846" s="47"/>
      <c r="K846" s="48"/>
      <c r="L846" s="49"/>
      <c r="M846" s="49"/>
      <c r="N846" s="50"/>
      <c r="O846" s="43"/>
      <c r="P846" s="43"/>
      <c r="Q846" s="44"/>
      <c r="R846" s="35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43"/>
      <c r="B847" s="40"/>
      <c r="C847" s="44"/>
      <c r="D847" s="45"/>
      <c r="E847" s="44"/>
      <c r="F847" s="43"/>
      <c r="G847" s="43"/>
      <c r="H847" s="43"/>
      <c r="I847" s="46"/>
      <c r="J847" s="47"/>
      <c r="K847" s="48"/>
      <c r="L847" s="49"/>
      <c r="M847" s="49"/>
      <c r="N847" s="50"/>
      <c r="O847" s="43"/>
      <c r="P847" s="43"/>
      <c r="Q847" s="44"/>
      <c r="R847" s="35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43"/>
      <c r="B848" s="40"/>
      <c r="C848" s="44"/>
      <c r="D848" s="45"/>
      <c r="E848" s="44"/>
      <c r="F848" s="43"/>
      <c r="G848" s="43"/>
      <c r="H848" s="43"/>
      <c r="I848" s="46"/>
      <c r="J848" s="47"/>
      <c r="K848" s="48"/>
      <c r="L848" s="49"/>
      <c r="M848" s="49"/>
      <c r="N848" s="50"/>
      <c r="O848" s="43"/>
      <c r="P848" s="43"/>
      <c r="Q848" s="44"/>
      <c r="R848" s="35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43"/>
      <c r="B849" s="40"/>
      <c r="C849" s="44"/>
      <c r="D849" s="45"/>
      <c r="E849" s="44"/>
      <c r="F849" s="43"/>
      <c r="G849" s="43"/>
      <c r="H849" s="43"/>
      <c r="I849" s="46"/>
      <c r="J849" s="47"/>
      <c r="K849" s="48"/>
      <c r="L849" s="49"/>
      <c r="M849" s="49"/>
      <c r="N849" s="50"/>
      <c r="O849" s="43"/>
      <c r="P849" s="43"/>
      <c r="Q849" s="44"/>
      <c r="R849" s="35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43"/>
      <c r="B850" s="40"/>
      <c r="C850" s="44"/>
      <c r="D850" s="45"/>
      <c r="E850" s="44"/>
      <c r="F850" s="43"/>
      <c r="G850" s="43"/>
      <c r="H850" s="43"/>
      <c r="I850" s="46"/>
      <c r="J850" s="47"/>
      <c r="K850" s="48"/>
      <c r="L850" s="49"/>
      <c r="M850" s="49"/>
      <c r="N850" s="50"/>
      <c r="O850" s="43"/>
      <c r="P850" s="43"/>
      <c r="Q850" s="44"/>
      <c r="R850" s="35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43"/>
      <c r="B851" s="40"/>
      <c r="C851" s="44"/>
      <c r="D851" s="45"/>
      <c r="E851" s="44"/>
      <c r="F851" s="43"/>
      <c r="G851" s="43"/>
      <c r="H851" s="43"/>
      <c r="I851" s="46"/>
      <c r="J851" s="47"/>
      <c r="K851" s="48"/>
      <c r="L851" s="49"/>
      <c r="M851" s="49"/>
      <c r="N851" s="50"/>
      <c r="O851" s="43"/>
      <c r="P851" s="43"/>
      <c r="Q851" s="44"/>
      <c r="R851" s="35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43"/>
      <c r="B852" s="40"/>
      <c r="C852" s="44"/>
      <c r="D852" s="45"/>
      <c r="E852" s="44"/>
      <c r="F852" s="43"/>
      <c r="G852" s="43"/>
      <c r="H852" s="43"/>
      <c r="I852" s="46"/>
      <c r="J852" s="47"/>
      <c r="K852" s="48"/>
      <c r="L852" s="49"/>
      <c r="M852" s="49"/>
      <c r="N852" s="50"/>
      <c r="O852" s="43"/>
      <c r="P852" s="43"/>
      <c r="Q852" s="44"/>
      <c r="R852" s="35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43"/>
      <c r="B853" s="40"/>
      <c r="C853" s="44"/>
      <c r="D853" s="45"/>
      <c r="E853" s="44"/>
      <c r="F853" s="43"/>
      <c r="G853" s="43"/>
      <c r="H853" s="43"/>
      <c r="I853" s="46"/>
      <c r="J853" s="47"/>
      <c r="K853" s="48"/>
      <c r="L853" s="49"/>
      <c r="M853" s="49"/>
      <c r="N853" s="50"/>
      <c r="O853" s="43"/>
      <c r="P853" s="43"/>
      <c r="Q853" s="44"/>
      <c r="R853" s="35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43"/>
      <c r="B854" s="40"/>
      <c r="C854" s="44"/>
      <c r="D854" s="45"/>
      <c r="E854" s="44"/>
      <c r="F854" s="43"/>
      <c r="G854" s="43"/>
      <c r="H854" s="43"/>
      <c r="I854" s="46"/>
      <c r="J854" s="47"/>
      <c r="K854" s="48"/>
      <c r="L854" s="49"/>
      <c r="M854" s="49"/>
      <c r="N854" s="50"/>
      <c r="O854" s="43"/>
      <c r="P854" s="43"/>
      <c r="Q854" s="44"/>
      <c r="R854" s="35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43"/>
      <c r="B855" s="40"/>
      <c r="C855" s="44"/>
      <c r="D855" s="45"/>
      <c r="E855" s="44"/>
      <c r="F855" s="43"/>
      <c r="G855" s="43"/>
      <c r="H855" s="43"/>
      <c r="I855" s="46"/>
      <c r="J855" s="47"/>
      <c r="K855" s="48"/>
      <c r="L855" s="49"/>
      <c r="M855" s="49"/>
      <c r="N855" s="50"/>
      <c r="O855" s="43"/>
      <c r="P855" s="43"/>
      <c r="Q855" s="44"/>
      <c r="R855" s="35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43"/>
      <c r="B856" s="40"/>
      <c r="C856" s="44"/>
      <c r="D856" s="45"/>
      <c r="E856" s="44"/>
      <c r="F856" s="43"/>
      <c r="G856" s="43"/>
      <c r="H856" s="43"/>
      <c r="I856" s="46"/>
      <c r="J856" s="47"/>
      <c r="K856" s="48"/>
      <c r="L856" s="49"/>
      <c r="M856" s="49"/>
      <c r="N856" s="50"/>
      <c r="O856" s="43"/>
      <c r="P856" s="43"/>
      <c r="Q856" s="44"/>
      <c r="R856" s="35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43"/>
      <c r="B857" s="40"/>
      <c r="C857" s="44"/>
      <c r="D857" s="45"/>
      <c r="E857" s="44"/>
      <c r="F857" s="43"/>
      <c r="G857" s="43"/>
      <c r="H857" s="43"/>
      <c r="I857" s="46"/>
      <c r="J857" s="47"/>
      <c r="K857" s="48"/>
      <c r="L857" s="49"/>
      <c r="M857" s="49"/>
      <c r="N857" s="50"/>
      <c r="O857" s="43"/>
      <c r="P857" s="43"/>
      <c r="Q857" s="44"/>
      <c r="R857" s="35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43"/>
      <c r="B858" s="40"/>
      <c r="C858" s="44"/>
      <c r="D858" s="45"/>
      <c r="E858" s="44"/>
      <c r="F858" s="43"/>
      <c r="G858" s="43"/>
      <c r="H858" s="43"/>
      <c r="I858" s="46"/>
      <c r="J858" s="47"/>
      <c r="K858" s="48"/>
      <c r="L858" s="49"/>
      <c r="M858" s="49"/>
      <c r="N858" s="50"/>
      <c r="O858" s="43"/>
      <c r="P858" s="43"/>
      <c r="Q858" s="44"/>
      <c r="R858" s="35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43"/>
      <c r="B859" s="40"/>
      <c r="C859" s="44"/>
      <c r="D859" s="45"/>
      <c r="E859" s="44"/>
      <c r="F859" s="43"/>
      <c r="G859" s="43"/>
      <c r="H859" s="43"/>
      <c r="I859" s="46"/>
      <c r="J859" s="47"/>
      <c r="K859" s="48"/>
      <c r="L859" s="49"/>
      <c r="M859" s="49"/>
      <c r="N859" s="50"/>
      <c r="O859" s="43"/>
      <c r="P859" s="43"/>
      <c r="Q859" s="44"/>
      <c r="R859" s="35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43"/>
      <c r="B860" s="40"/>
      <c r="C860" s="44"/>
      <c r="D860" s="45"/>
      <c r="E860" s="44"/>
      <c r="F860" s="43"/>
      <c r="G860" s="43"/>
      <c r="H860" s="43"/>
      <c r="I860" s="46"/>
      <c r="J860" s="47"/>
      <c r="K860" s="48"/>
      <c r="L860" s="49"/>
      <c r="M860" s="49"/>
      <c r="N860" s="50"/>
      <c r="O860" s="43"/>
      <c r="P860" s="43"/>
      <c r="Q860" s="44"/>
      <c r="R860" s="35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43"/>
      <c r="B861" s="40"/>
      <c r="C861" s="44"/>
      <c r="D861" s="45"/>
      <c r="E861" s="44"/>
      <c r="F861" s="43"/>
      <c r="G861" s="43"/>
      <c r="H861" s="43"/>
      <c r="I861" s="46"/>
      <c r="J861" s="47"/>
      <c r="K861" s="48"/>
      <c r="L861" s="49"/>
      <c r="M861" s="49"/>
      <c r="N861" s="50"/>
      <c r="O861" s="43"/>
      <c r="P861" s="43"/>
      <c r="Q861" s="44"/>
      <c r="R861" s="35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43"/>
      <c r="B862" s="40"/>
      <c r="C862" s="44"/>
      <c r="D862" s="45"/>
      <c r="E862" s="44"/>
      <c r="F862" s="43"/>
      <c r="G862" s="43"/>
      <c r="H862" s="43"/>
      <c r="I862" s="46"/>
      <c r="J862" s="47"/>
      <c r="K862" s="48"/>
      <c r="L862" s="49"/>
      <c r="M862" s="49"/>
      <c r="N862" s="50"/>
      <c r="O862" s="43"/>
      <c r="P862" s="43"/>
      <c r="Q862" s="44"/>
      <c r="R862" s="35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43"/>
      <c r="B863" s="40"/>
      <c r="C863" s="44"/>
      <c r="D863" s="45"/>
      <c r="E863" s="44"/>
      <c r="F863" s="43"/>
      <c r="G863" s="43"/>
      <c r="H863" s="43"/>
      <c r="I863" s="46"/>
      <c r="J863" s="47"/>
      <c r="K863" s="48"/>
      <c r="L863" s="49"/>
      <c r="M863" s="49"/>
      <c r="N863" s="50"/>
      <c r="O863" s="43"/>
      <c r="P863" s="43"/>
      <c r="Q863" s="44"/>
      <c r="R863" s="35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43"/>
      <c r="B864" s="40"/>
      <c r="C864" s="44"/>
      <c r="D864" s="45"/>
      <c r="E864" s="44"/>
      <c r="F864" s="43"/>
      <c r="G864" s="43"/>
      <c r="H864" s="43"/>
      <c r="I864" s="46"/>
      <c r="J864" s="47"/>
      <c r="K864" s="48"/>
      <c r="L864" s="49"/>
      <c r="M864" s="49"/>
      <c r="N864" s="50"/>
      <c r="O864" s="43"/>
      <c r="P864" s="43"/>
      <c r="Q864" s="44"/>
      <c r="R864" s="35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43"/>
      <c r="B865" s="40"/>
      <c r="C865" s="44"/>
      <c r="D865" s="45"/>
      <c r="E865" s="44"/>
      <c r="F865" s="43"/>
      <c r="G865" s="43"/>
      <c r="H865" s="43"/>
      <c r="I865" s="46"/>
      <c r="J865" s="47"/>
      <c r="K865" s="48"/>
      <c r="L865" s="49"/>
      <c r="M865" s="49"/>
      <c r="N865" s="50"/>
      <c r="O865" s="43"/>
      <c r="P865" s="43"/>
      <c r="Q865" s="44"/>
      <c r="R865" s="35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43"/>
      <c r="B866" s="40"/>
      <c r="C866" s="44"/>
      <c r="D866" s="45"/>
      <c r="E866" s="44"/>
      <c r="F866" s="43"/>
      <c r="G866" s="43"/>
      <c r="H866" s="43"/>
      <c r="I866" s="46"/>
      <c r="J866" s="47"/>
      <c r="K866" s="48"/>
      <c r="L866" s="49"/>
      <c r="M866" s="49"/>
      <c r="N866" s="50"/>
      <c r="O866" s="43"/>
      <c r="P866" s="43"/>
      <c r="Q866" s="44"/>
      <c r="R866" s="35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43"/>
      <c r="B867" s="40"/>
      <c r="C867" s="44"/>
      <c r="D867" s="45"/>
      <c r="E867" s="44"/>
      <c r="F867" s="43"/>
      <c r="G867" s="43"/>
      <c r="H867" s="43"/>
      <c r="I867" s="46"/>
      <c r="J867" s="47"/>
      <c r="K867" s="48"/>
      <c r="L867" s="49"/>
      <c r="M867" s="49"/>
      <c r="N867" s="50"/>
      <c r="O867" s="43"/>
      <c r="P867" s="43"/>
      <c r="Q867" s="44"/>
      <c r="R867" s="35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43"/>
      <c r="B868" s="40"/>
      <c r="C868" s="44"/>
      <c r="D868" s="45"/>
      <c r="E868" s="44"/>
      <c r="F868" s="43"/>
      <c r="G868" s="43"/>
      <c r="H868" s="43"/>
      <c r="I868" s="46"/>
      <c r="J868" s="47"/>
      <c r="K868" s="48"/>
      <c r="L868" s="49"/>
      <c r="M868" s="49"/>
      <c r="N868" s="50"/>
      <c r="O868" s="43"/>
      <c r="P868" s="43"/>
      <c r="Q868" s="44"/>
      <c r="R868" s="35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43"/>
      <c r="B869" s="40"/>
      <c r="C869" s="44"/>
      <c r="D869" s="45"/>
      <c r="E869" s="44"/>
      <c r="F869" s="43"/>
      <c r="G869" s="43"/>
      <c r="H869" s="43"/>
      <c r="I869" s="46"/>
      <c r="J869" s="47"/>
      <c r="K869" s="48"/>
      <c r="L869" s="49"/>
      <c r="M869" s="49"/>
      <c r="N869" s="50"/>
      <c r="O869" s="43"/>
      <c r="P869" s="43"/>
      <c r="Q869" s="44"/>
      <c r="R869" s="35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43"/>
      <c r="B870" s="40"/>
      <c r="C870" s="44"/>
      <c r="D870" s="45"/>
      <c r="E870" s="44"/>
      <c r="F870" s="43"/>
      <c r="G870" s="43"/>
      <c r="H870" s="43"/>
      <c r="I870" s="46"/>
      <c r="J870" s="47"/>
      <c r="K870" s="48"/>
      <c r="L870" s="49"/>
      <c r="M870" s="49"/>
      <c r="N870" s="50"/>
      <c r="O870" s="43"/>
      <c r="P870" s="43"/>
      <c r="Q870" s="44"/>
      <c r="R870" s="35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43"/>
      <c r="B871" s="40"/>
      <c r="C871" s="44"/>
      <c r="D871" s="45"/>
      <c r="E871" s="44"/>
      <c r="F871" s="43"/>
      <c r="G871" s="43"/>
      <c r="H871" s="43"/>
      <c r="I871" s="46"/>
      <c r="J871" s="47"/>
      <c r="K871" s="48"/>
      <c r="L871" s="49"/>
      <c r="M871" s="49"/>
      <c r="N871" s="50"/>
      <c r="O871" s="43"/>
      <c r="P871" s="43"/>
      <c r="Q871" s="44"/>
      <c r="R871" s="35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43"/>
      <c r="B872" s="40"/>
      <c r="C872" s="44"/>
      <c r="D872" s="45"/>
      <c r="E872" s="44"/>
      <c r="F872" s="43"/>
      <c r="G872" s="43"/>
      <c r="H872" s="43"/>
      <c r="I872" s="46"/>
      <c r="J872" s="47"/>
      <c r="K872" s="48"/>
      <c r="L872" s="49"/>
      <c r="M872" s="49"/>
      <c r="N872" s="50"/>
      <c r="O872" s="43"/>
      <c r="P872" s="43"/>
      <c r="Q872" s="44"/>
      <c r="R872" s="35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43"/>
      <c r="B873" s="40"/>
      <c r="C873" s="44"/>
      <c r="D873" s="45"/>
      <c r="E873" s="44"/>
      <c r="F873" s="43"/>
      <c r="G873" s="43"/>
      <c r="H873" s="43"/>
      <c r="I873" s="46"/>
      <c r="J873" s="47"/>
      <c r="K873" s="48"/>
      <c r="L873" s="49"/>
      <c r="M873" s="49"/>
      <c r="N873" s="50"/>
      <c r="O873" s="43"/>
      <c r="P873" s="43"/>
      <c r="Q873" s="44"/>
      <c r="R873" s="35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43"/>
      <c r="B874" s="40"/>
      <c r="C874" s="44"/>
      <c r="D874" s="45"/>
      <c r="E874" s="44"/>
      <c r="F874" s="43"/>
      <c r="G874" s="43"/>
      <c r="H874" s="43"/>
      <c r="I874" s="46"/>
      <c r="J874" s="47"/>
      <c r="K874" s="48"/>
      <c r="L874" s="49"/>
      <c r="M874" s="49"/>
      <c r="N874" s="50"/>
      <c r="O874" s="43"/>
      <c r="P874" s="43"/>
      <c r="Q874" s="44"/>
      <c r="R874" s="35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43"/>
      <c r="B875" s="40"/>
      <c r="C875" s="44"/>
      <c r="D875" s="45"/>
      <c r="E875" s="44"/>
      <c r="F875" s="43"/>
      <c r="G875" s="43"/>
      <c r="H875" s="43"/>
      <c r="I875" s="46"/>
      <c r="J875" s="47"/>
      <c r="K875" s="48"/>
      <c r="L875" s="49"/>
      <c r="M875" s="49"/>
      <c r="N875" s="50"/>
      <c r="O875" s="43"/>
      <c r="P875" s="43"/>
      <c r="Q875" s="44"/>
      <c r="R875" s="35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43"/>
      <c r="B876" s="40"/>
      <c r="C876" s="44"/>
      <c r="D876" s="45"/>
      <c r="E876" s="44"/>
      <c r="F876" s="43"/>
      <c r="G876" s="43"/>
      <c r="H876" s="43"/>
      <c r="I876" s="46"/>
      <c r="J876" s="47"/>
      <c r="K876" s="48"/>
      <c r="L876" s="49"/>
      <c r="M876" s="49"/>
      <c r="N876" s="50"/>
      <c r="O876" s="43"/>
      <c r="P876" s="43"/>
      <c r="Q876" s="44"/>
      <c r="R876" s="35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43"/>
      <c r="B877" s="40"/>
      <c r="C877" s="44"/>
      <c r="D877" s="45"/>
      <c r="E877" s="44"/>
      <c r="F877" s="43"/>
      <c r="G877" s="43"/>
      <c r="H877" s="43"/>
      <c r="I877" s="46"/>
      <c r="J877" s="47"/>
      <c r="K877" s="48"/>
      <c r="L877" s="49"/>
      <c r="M877" s="49"/>
      <c r="N877" s="50"/>
      <c r="O877" s="43"/>
      <c r="P877" s="43"/>
      <c r="Q877" s="44"/>
      <c r="R877" s="35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43"/>
      <c r="B878" s="40"/>
      <c r="C878" s="44"/>
      <c r="D878" s="45"/>
      <c r="E878" s="44"/>
      <c r="F878" s="43"/>
      <c r="G878" s="43"/>
      <c r="H878" s="43"/>
      <c r="I878" s="46"/>
      <c r="J878" s="47"/>
      <c r="K878" s="48"/>
      <c r="L878" s="49"/>
      <c r="M878" s="49"/>
      <c r="N878" s="50"/>
      <c r="O878" s="43"/>
      <c r="P878" s="43"/>
      <c r="Q878" s="44"/>
      <c r="R878" s="35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43"/>
      <c r="B879" s="40"/>
      <c r="C879" s="44"/>
      <c r="D879" s="45"/>
      <c r="E879" s="44"/>
      <c r="F879" s="43"/>
      <c r="G879" s="43"/>
      <c r="H879" s="43"/>
      <c r="I879" s="46"/>
      <c r="J879" s="47"/>
      <c r="K879" s="48"/>
      <c r="L879" s="49"/>
      <c r="M879" s="49"/>
      <c r="N879" s="50"/>
      <c r="O879" s="43"/>
      <c r="P879" s="43"/>
      <c r="Q879" s="44"/>
      <c r="R879" s="35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43"/>
      <c r="B880" s="40"/>
      <c r="C880" s="44"/>
      <c r="D880" s="45"/>
      <c r="E880" s="44"/>
      <c r="F880" s="43"/>
      <c r="G880" s="43"/>
      <c r="H880" s="43"/>
      <c r="I880" s="46"/>
      <c r="J880" s="47"/>
      <c r="K880" s="48"/>
      <c r="L880" s="49"/>
      <c r="M880" s="49"/>
      <c r="N880" s="50"/>
      <c r="O880" s="43"/>
      <c r="P880" s="43"/>
      <c r="Q880" s="44"/>
      <c r="R880" s="35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43"/>
      <c r="B881" s="40"/>
      <c r="C881" s="44"/>
      <c r="D881" s="45"/>
      <c r="E881" s="44"/>
      <c r="F881" s="43"/>
      <c r="G881" s="43"/>
      <c r="H881" s="43"/>
      <c r="I881" s="46"/>
      <c r="J881" s="47"/>
      <c r="K881" s="48"/>
      <c r="L881" s="49"/>
      <c r="M881" s="49"/>
      <c r="N881" s="50"/>
      <c r="O881" s="43"/>
      <c r="P881" s="43"/>
      <c r="Q881" s="44"/>
      <c r="R881" s="35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43"/>
      <c r="B882" s="40"/>
      <c r="C882" s="44"/>
      <c r="D882" s="45"/>
      <c r="E882" s="44"/>
      <c r="F882" s="43"/>
      <c r="G882" s="43"/>
      <c r="H882" s="43"/>
      <c r="I882" s="46"/>
      <c r="J882" s="47"/>
      <c r="K882" s="48"/>
      <c r="L882" s="49"/>
      <c r="M882" s="49"/>
      <c r="N882" s="50"/>
      <c r="O882" s="43"/>
      <c r="P882" s="43"/>
      <c r="Q882" s="44"/>
      <c r="R882" s="35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43"/>
      <c r="B883" s="40"/>
      <c r="C883" s="44"/>
      <c r="D883" s="45"/>
      <c r="E883" s="44"/>
      <c r="F883" s="43"/>
      <c r="G883" s="43"/>
      <c r="H883" s="43"/>
      <c r="I883" s="46"/>
      <c r="J883" s="47"/>
      <c r="K883" s="48"/>
      <c r="L883" s="49"/>
      <c r="M883" s="49"/>
      <c r="N883" s="50"/>
      <c r="O883" s="43"/>
      <c r="P883" s="43"/>
      <c r="Q883" s="44"/>
      <c r="R883" s="35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43"/>
      <c r="B884" s="40"/>
      <c r="C884" s="44"/>
      <c r="D884" s="45"/>
      <c r="E884" s="44"/>
      <c r="F884" s="43"/>
      <c r="G884" s="43"/>
      <c r="H884" s="43"/>
      <c r="I884" s="46"/>
      <c r="J884" s="47"/>
      <c r="K884" s="48"/>
      <c r="L884" s="49"/>
      <c r="M884" s="49"/>
      <c r="N884" s="50"/>
      <c r="O884" s="43"/>
      <c r="P884" s="43"/>
      <c r="Q884" s="44"/>
      <c r="R884" s="35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43"/>
      <c r="B885" s="40"/>
      <c r="C885" s="44"/>
      <c r="D885" s="45"/>
      <c r="E885" s="44"/>
      <c r="F885" s="43"/>
      <c r="G885" s="43"/>
      <c r="H885" s="43"/>
      <c r="I885" s="46"/>
      <c r="J885" s="47"/>
      <c r="K885" s="48"/>
      <c r="L885" s="49"/>
      <c r="M885" s="49"/>
      <c r="N885" s="50"/>
      <c r="O885" s="43"/>
      <c r="P885" s="43"/>
      <c r="Q885" s="44"/>
      <c r="R885" s="35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43"/>
      <c r="B886" s="40"/>
      <c r="C886" s="44"/>
      <c r="D886" s="45"/>
      <c r="E886" s="44"/>
      <c r="F886" s="43"/>
      <c r="G886" s="43"/>
      <c r="H886" s="43"/>
      <c r="I886" s="46"/>
      <c r="J886" s="47"/>
      <c r="K886" s="48"/>
      <c r="L886" s="49"/>
      <c r="M886" s="49"/>
      <c r="N886" s="50"/>
      <c r="O886" s="43"/>
      <c r="P886" s="43"/>
      <c r="Q886" s="44"/>
      <c r="R886" s="35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43"/>
      <c r="B887" s="40"/>
      <c r="C887" s="44"/>
      <c r="D887" s="45"/>
      <c r="E887" s="44"/>
      <c r="F887" s="43"/>
      <c r="G887" s="43"/>
      <c r="H887" s="43"/>
      <c r="I887" s="46"/>
      <c r="J887" s="47"/>
      <c r="K887" s="48"/>
      <c r="L887" s="49"/>
      <c r="M887" s="49"/>
      <c r="N887" s="50"/>
      <c r="O887" s="43"/>
      <c r="P887" s="43"/>
      <c r="Q887" s="44"/>
      <c r="R887" s="35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43"/>
      <c r="B888" s="40"/>
      <c r="C888" s="44"/>
      <c r="D888" s="45"/>
      <c r="E888" s="44"/>
      <c r="F888" s="43"/>
      <c r="G888" s="43"/>
      <c r="H888" s="43"/>
      <c r="I888" s="46"/>
      <c r="J888" s="47"/>
      <c r="K888" s="48"/>
      <c r="L888" s="49"/>
      <c r="M888" s="49"/>
      <c r="N888" s="50"/>
      <c r="O888" s="43"/>
      <c r="P888" s="43"/>
      <c r="Q888" s="44"/>
      <c r="R888" s="35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43"/>
      <c r="B889" s="40"/>
      <c r="C889" s="44"/>
      <c r="D889" s="45"/>
      <c r="E889" s="44"/>
      <c r="F889" s="43"/>
      <c r="G889" s="43"/>
      <c r="H889" s="43"/>
      <c r="I889" s="46"/>
      <c r="J889" s="47"/>
      <c r="K889" s="48"/>
      <c r="L889" s="49"/>
      <c r="M889" s="49"/>
      <c r="N889" s="50"/>
      <c r="O889" s="43"/>
      <c r="P889" s="43"/>
      <c r="Q889" s="44"/>
      <c r="R889" s="35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43"/>
      <c r="B890" s="40"/>
      <c r="C890" s="44"/>
      <c r="D890" s="45"/>
      <c r="E890" s="44"/>
      <c r="F890" s="43"/>
      <c r="G890" s="43"/>
      <c r="H890" s="43"/>
      <c r="I890" s="46"/>
      <c r="J890" s="47"/>
      <c r="K890" s="48"/>
      <c r="L890" s="49"/>
      <c r="M890" s="49"/>
      <c r="N890" s="50"/>
      <c r="O890" s="43"/>
      <c r="P890" s="43"/>
      <c r="Q890" s="44"/>
      <c r="R890" s="35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43"/>
      <c r="B891" s="40"/>
      <c r="C891" s="44"/>
      <c r="D891" s="45"/>
      <c r="E891" s="44"/>
      <c r="F891" s="43"/>
      <c r="G891" s="43"/>
      <c r="H891" s="43"/>
      <c r="I891" s="46"/>
      <c r="J891" s="47"/>
      <c r="K891" s="48"/>
      <c r="L891" s="49"/>
      <c r="M891" s="49"/>
      <c r="N891" s="50"/>
      <c r="O891" s="43"/>
      <c r="P891" s="43"/>
      <c r="Q891" s="44"/>
      <c r="R891" s="35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43"/>
      <c r="B892" s="40"/>
      <c r="C892" s="44"/>
      <c r="D892" s="45"/>
      <c r="E892" s="44"/>
      <c r="F892" s="43"/>
      <c r="G892" s="43"/>
      <c r="H892" s="43"/>
      <c r="I892" s="46"/>
      <c r="J892" s="47"/>
      <c r="K892" s="48"/>
      <c r="L892" s="49"/>
      <c r="M892" s="49"/>
      <c r="N892" s="50"/>
      <c r="O892" s="43"/>
      <c r="P892" s="43"/>
      <c r="Q892" s="44"/>
      <c r="R892" s="35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43"/>
      <c r="B893" s="40"/>
      <c r="C893" s="44"/>
      <c r="D893" s="45"/>
      <c r="E893" s="44"/>
      <c r="F893" s="43"/>
      <c r="G893" s="43"/>
      <c r="H893" s="43"/>
      <c r="I893" s="46"/>
      <c r="J893" s="47"/>
      <c r="K893" s="48"/>
      <c r="L893" s="49"/>
      <c r="M893" s="49"/>
      <c r="N893" s="50"/>
      <c r="O893" s="43"/>
      <c r="P893" s="43"/>
      <c r="Q893" s="44"/>
      <c r="R893" s="35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43"/>
      <c r="B894" s="40"/>
      <c r="C894" s="44"/>
      <c r="D894" s="45"/>
      <c r="E894" s="44"/>
      <c r="F894" s="43"/>
      <c r="G894" s="43"/>
      <c r="H894" s="43"/>
      <c r="I894" s="46"/>
      <c r="J894" s="47"/>
      <c r="K894" s="48"/>
      <c r="L894" s="49"/>
      <c r="M894" s="49"/>
      <c r="N894" s="50"/>
      <c r="O894" s="43"/>
      <c r="P894" s="43"/>
      <c r="Q894" s="44"/>
      <c r="R894" s="35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43"/>
      <c r="B895" s="40"/>
      <c r="C895" s="44"/>
      <c r="D895" s="45"/>
      <c r="E895" s="44"/>
      <c r="F895" s="43"/>
      <c r="G895" s="43"/>
      <c r="H895" s="43"/>
      <c r="I895" s="46"/>
      <c r="J895" s="47"/>
      <c r="K895" s="48"/>
      <c r="L895" s="49"/>
      <c r="M895" s="49"/>
      <c r="N895" s="50"/>
      <c r="O895" s="43"/>
      <c r="P895" s="43"/>
      <c r="Q895" s="44"/>
      <c r="R895" s="35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43"/>
      <c r="B896" s="40"/>
      <c r="C896" s="44"/>
      <c r="D896" s="45"/>
      <c r="E896" s="44"/>
      <c r="F896" s="43"/>
      <c r="G896" s="43"/>
      <c r="H896" s="43"/>
      <c r="I896" s="46"/>
      <c r="J896" s="47"/>
      <c r="K896" s="48"/>
      <c r="L896" s="49"/>
      <c r="M896" s="49"/>
      <c r="N896" s="50"/>
      <c r="O896" s="43"/>
      <c r="P896" s="43"/>
      <c r="Q896" s="44"/>
      <c r="R896" s="35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43"/>
      <c r="B897" s="40"/>
      <c r="C897" s="44"/>
      <c r="D897" s="45"/>
      <c r="E897" s="44"/>
      <c r="F897" s="43"/>
      <c r="G897" s="43"/>
      <c r="H897" s="43"/>
      <c r="I897" s="46"/>
      <c r="J897" s="47"/>
      <c r="K897" s="48"/>
      <c r="L897" s="49"/>
      <c r="M897" s="49"/>
      <c r="N897" s="50"/>
      <c r="O897" s="43"/>
      <c r="P897" s="43"/>
      <c r="Q897" s="44"/>
      <c r="R897" s="35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43"/>
      <c r="B898" s="40"/>
      <c r="C898" s="44"/>
      <c r="D898" s="45"/>
      <c r="E898" s="44"/>
      <c r="F898" s="43"/>
      <c r="G898" s="43"/>
      <c r="H898" s="43"/>
      <c r="I898" s="46"/>
      <c r="J898" s="47"/>
      <c r="K898" s="48"/>
      <c r="L898" s="49"/>
      <c r="M898" s="49"/>
      <c r="N898" s="50"/>
      <c r="O898" s="43"/>
      <c r="P898" s="43"/>
      <c r="Q898" s="44"/>
      <c r="R898" s="35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43"/>
      <c r="B899" s="40"/>
      <c r="C899" s="44"/>
      <c r="D899" s="45"/>
      <c r="E899" s="44"/>
      <c r="F899" s="43"/>
      <c r="G899" s="43"/>
      <c r="H899" s="43"/>
      <c r="I899" s="46"/>
      <c r="J899" s="47"/>
      <c r="K899" s="48"/>
      <c r="L899" s="49"/>
      <c r="M899" s="49"/>
      <c r="N899" s="50"/>
      <c r="O899" s="43"/>
      <c r="P899" s="43"/>
      <c r="Q899" s="44"/>
      <c r="R899" s="35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43"/>
      <c r="B900" s="40"/>
      <c r="C900" s="44"/>
      <c r="D900" s="45"/>
      <c r="E900" s="44"/>
      <c r="F900" s="43"/>
      <c r="G900" s="43"/>
      <c r="H900" s="43"/>
      <c r="I900" s="46"/>
      <c r="J900" s="47"/>
      <c r="K900" s="48"/>
      <c r="L900" s="49"/>
      <c r="M900" s="49"/>
      <c r="N900" s="50"/>
      <c r="O900" s="43"/>
      <c r="P900" s="43"/>
      <c r="Q900" s="44"/>
      <c r="R900" s="35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43"/>
      <c r="B901" s="40"/>
      <c r="C901" s="44"/>
      <c r="D901" s="45"/>
      <c r="E901" s="44"/>
      <c r="F901" s="43"/>
      <c r="G901" s="43"/>
      <c r="H901" s="43"/>
      <c r="I901" s="46"/>
      <c r="J901" s="47"/>
      <c r="K901" s="48"/>
      <c r="L901" s="49"/>
      <c r="M901" s="49"/>
      <c r="N901" s="50"/>
      <c r="O901" s="43"/>
      <c r="P901" s="43"/>
      <c r="Q901" s="44"/>
      <c r="R901" s="35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43"/>
      <c r="B902" s="40"/>
      <c r="C902" s="44"/>
      <c r="D902" s="45"/>
      <c r="E902" s="44"/>
      <c r="F902" s="43"/>
      <c r="G902" s="43"/>
      <c r="H902" s="43"/>
      <c r="I902" s="46"/>
      <c r="J902" s="47"/>
      <c r="K902" s="48"/>
      <c r="L902" s="49"/>
      <c r="M902" s="49"/>
      <c r="N902" s="50"/>
      <c r="O902" s="43"/>
      <c r="P902" s="43"/>
      <c r="Q902" s="44"/>
      <c r="R902" s="35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43"/>
      <c r="B903" s="40"/>
      <c r="C903" s="44"/>
      <c r="D903" s="45"/>
      <c r="E903" s="44"/>
      <c r="F903" s="43"/>
      <c r="G903" s="43"/>
      <c r="H903" s="43"/>
      <c r="I903" s="46"/>
      <c r="J903" s="47"/>
      <c r="K903" s="48"/>
      <c r="L903" s="49"/>
      <c r="M903" s="49"/>
      <c r="N903" s="50"/>
      <c r="O903" s="43"/>
      <c r="P903" s="43"/>
      <c r="Q903" s="44"/>
      <c r="R903" s="35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43"/>
      <c r="B904" s="40"/>
      <c r="C904" s="44"/>
      <c r="D904" s="45"/>
      <c r="E904" s="44"/>
      <c r="F904" s="43"/>
      <c r="G904" s="43"/>
      <c r="H904" s="43"/>
      <c r="I904" s="46"/>
      <c r="J904" s="47"/>
      <c r="K904" s="48"/>
      <c r="L904" s="49"/>
      <c r="M904" s="49"/>
      <c r="N904" s="50"/>
      <c r="O904" s="43"/>
      <c r="P904" s="43"/>
      <c r="Q904" s="44"/>
      <c r="R904" s="35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43"/>
      <c r="B905" s="40"/>
      <c r="C905" s="44"/>
      <c r="D905" s="45"/>
      <c r="E905" s="44"/>
      <c r="F905" s="43"/>
      <c r="G905" s="43"/>
      <c r="H905" s="43"/>
      <c r="I905" s="46"/>
      <c r="J905" s="47"/>
      <c r="K905" s="48"/>
      <c r="L905" s="49"/>
      <c r="M905" s="49"/>
      <c r="N905" s="50"/>
      <c r="O905" s="43"/>
      <c r="P905" s="43"/>
      <c r="Q905" s="44"/>
      <c r="R905" s="35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43"/>
      <c r="B906" s="40"/>
      <c r="C906" s="44"/>
      <c r="D906" s="45"/>
      <c r="E906" s="44"/>
      <c r="F906" s="43"/>
      <c r="G906" s="43"/>
      <c r="H906" s="43"/>
      <c r="I906" s="46"/>
      <c r="J906" s="47"/>
      <c r="K906" s="48"/>
      <c r="L906" s="49"/>
      <c r="M906" s="49"/>
      <c r="N906" s="50"/>
      <c r="O906" s="43"/>
      <c r="P906" s="43"/>
      <c r="Q906" s="44"/>
      <c r="R906" s="35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43"/>
      <c r="B907" s="40"/>
      <c r="C907" s="44"/>
      <c r="D907" s="45"/>
      <c r="E907" s="44"/>
      <c r="F907" s="43"/>
      <c r="G907" s="43"/>
      <c r="H907" s="43"/>
      <c r="I907" s="46"/>
      <c r="J907" s="47"/>
      <c r="K907" s="48"/>
      <c r="L907" s="49"/>
      <c r="M907" s="49"/>
      <c r="N907" s="50"/>
      <c r="O907" s="43"/>
      <c r="P907" s="43"/>
      <c r="Q907" s="44"/>
      <c r="R907" s="35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43"/>
      <c r="B908" s="40"/>
      <c r="C908" s="44"/>
      <c r="D908" s="45"/>
      <c r="E908" s="44"/>
      <c r="F908" s="43"/>
      <c r="G908" s="43"/>
      <c r="H908" s="43"/>
      <c r="I908" s="46"/>
      <c r="J908" s="47"/>
      <c r="K908" s="48"/>
      <c r="L908" s="49"/>
      <c r="M908" s="49"/>
      <c r="N908" s="50"/>
      <c r="O908" s="43"/>
      <c r="P908" s="43"/>
      <c r="Q908" s="44"/>
      <c r="R908" s="35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43"/>
      <c r="B909" s="40"/>
      <c r="C909" s="44"/>
      <c r="D909" s="45"/>
      <c r="E909" s="44"/>
      <c r="F909" s="43"/>
      <c r="G909" s="43"/>
      <c r="H909" s="43"/>
      <c r="I909" s="46"/>
      <c r="J909" s="47"/>
      <c r="K909" s="48"/>
      <c r="L909" s="49"/>
      <c r="M909" s="49"/>
      <c r="N909" s="50"/>
      <c r="O909" s="43"/>
      <c r="P909" s="43"/>
      <c r="Q909" s="44"/>
      <c r="R909" s="35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43"/>
      <c r="B910" s="40"/>
      <c r="C910" s="44"/>
      <c r="D910" s="45"/>
      <c r="E910" s="44"/>
      <c r="F910" s="43"/>
      <c r="G910" s="43"/>
      <c r="H910" s="43"/>
      <c r="I910" s="46"/>
      <c r="J910" s="47"/>
      <c r="K910" s="48"/>
      <c r="L910" s="49"/>
      <c r="M910" s="49"/>
      <c r="N910" s="50"/>
      <c r="O910" s="43"/>
      <c r="P910" s="43"/>
      <c r="Q910" s="44"/>
      <c r="R910" s="35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43"/>
      <c r="B911" s="40"/>
      <c r="C911" s="44"/>
      <c r="D911" s="45"/>
      <c r="E911" s="44"/>
      <c r="F911" s="43"/>
      <c r="G911" s="43"/>
      <c r="H911" s="43"/>
      <c r="I911" s="46"/>
      <c r="J911" s="47"/>
      <c r="K911" s="48"/>
      <c r="L911" s="49"/>
      <c r="M911" s="49"/>
      <c r="N911" s="50"/>
      <c r="O911" s="43"/>
      <c r="P911" s="43"/>
      <c r="Q911" s="44"/>
      <c r="R911" s="35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43"/>
      <c r="B912" s="40"/>
      <c r="C912" s="44"/>
      <c r="D912" s="45"/>
      <c r="E912" s="44"/>
      <c r="F912" s="43"/>
      <c r="G912" s="43"/>
      <c r="H912" s="43"/>
      <c r="I912" s="46"/>
      <c r="J912" s="47"/>
      <c r="K912" s="48"/>
      <c r="L912" s="49"/>
      <c r="M912" s="49"/>
      <c r="N912" s="50"/>
      <c r="O912" s="43"/>
      <c r="P912" s="43"/>
      <c r="Q912" s="44"/>
      <c r="R912" s="35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43"/>
      <c r="B913" s="40"/>
      <c r="C913" s="44"/>
      <c r="D913" s="45"/>
      <c r="E913" s="44"/>
      <c r="F913" s="43"/>
      <c r="G913" s="43"/>
      <c r="H913" s="43"/>
      <c r="I913" s="46"/>
      <c r="J913" s="47"/>
      <c r="K913" s="48"/>
      <c r="L913" s="49"/>
      <c r="M913" s="49"/>
      <c r="N913" s="50"/>
      <c r="O913" s="43"/>
      <c r="P913" s="43"/>
      <c r="Q913" s="44"/>
      <c r="R913" s="35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43"/>
      <c r="B914" s="40"/>
      <c r="C914" s="44"/>
      <c r="D914" s="45"/>
      <c r="E914" s="44"/>
      <c r="F914" s="43"/>
      <c r="G914" s="43"/>
      <c r="H914" s="43"/>
      <c r="I914" s="46"/>
      <c r="J914" s="47"/>
      <c r="K914" s="48"/>
      <c r="L914" s="49"/>
      <c r="M914" s="49"/>
      <c r="N914" s="50"/>
      <c r="O914" s="43"/>
      <c r="P914" s="43"/>
      <c r="Q914" s="44"/>
      <c r="R914" s="35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43"/>
      <c r="B915" s="40"/>
      <c r="C915" s="44"/>
      <c r="D915" s="45"/>
      <c r="E915" s="44"/>
      <c r="F915" s="43"/>
      <c r="G915" s="43"/>
      <c r="H915" s="43"/>
      <c r="I915" s="46"/>
      <c r="J915" s="47"/>
      <c r="K915" s="48"/>
      <c r="L915" s="49"/>
      <c r="M915" s="49"/>
      <c r="N915" s="50"/>
      <c r="O915" s="43"/>
      <c r="P915" s="43"/>
      <c r="Q915" s="44"/>
      <c r="R915" s="35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43"/>
      <c r="B916" s="40"/>
      <c r="C916" s="44"/>
      <c r="D916" s="45"/>
      <c r="E916" s="44"/>
      <c r="F916" s="43"/>
      <c r="G916" s="43"/>
      <c r="H916" s="43"/>
      <c r="I916" s="46"/>
      <c r="J916" s="47"/>
      <c r="K916" s="48"/>
      <c r="L916" s="49"/>
      <c r="M916" s="49"/>
      <c r="N916" s="50"/>
      <c r="O916" s="43"/>
      <c r="P916" s="43"/>
      <c r="Q916" s="44"/>
      <c r="R916" s="35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43"/>
      <c r="B917" s="40"/>
      <c r="C917" s="44"/>
      <c r="D917" s="45"/>
      <c r="E917" s="44"/>
      <c r="F917" s="43"/>
      <c r="G917" s="43"/>
      <c r="H917" s="43"/>
      <c r="I917" s="46"/>
      <c r="J917" s="47"/>
      <c r="K917" s="48"/>
      <c r="L917" s="49"/>
      <c r="M917" s="49"/>
      <c r="N917" s="50"/>
      <c r="O917" s="43"/>
      <c r="P917" s="43"/>
      <c r="Q917" s="44"/>
      <c r="R917" s="35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43"/>
      <c r="B918" s="40"/>
      <c r="C918" s="44"/>
      <c r="D918" s="45"/>
      <c r="E918" s="44"/>
      <c r="F918" s="43"/>
      <c r="G918" s="43"/>
      <c r="H918" s="43"/>
      <c r="I918" s="46"/>
      <c r="J918" s="47"/>
      <c r="K918" s="48"/>
      <c r="L918" s="49"/>
      <c r="M918" s="49"/>
      <c r="N918" s="50"/>
      <c r="O918" s="43"/>
      <c r="P918" s="43"/>
      <c r="Q918" s="44"/>
      <c r="R918" s="35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43"/>
      <c r="B919" s="40"/>
      <c r="C919" s="44"/>
      <c r="D919" s="45"/>
      <c r="E919" s="44"/>
      <c r="F919" s="43"/>
      <c r="G919" s="43"/>
      <c r="H919" s="43"/>
      <c r="I919" s="46"/>
      <c r="J919" s="47"/>
      <c r="K919" s="48"/>
      <c r="L919" s="49"/>
      <c r="M919" s="49"/>
      <c r="N919" s="50"/>
      <c r="O919" s="43"/>
      <c r="P919" s="43"/>
      <c r="Q919" s="44"/>
      <c r="R919" s="35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43"/>
      <c r="B920" s="40"/>
      <c r="C920" s="44"/>
      <c r="D920" s="45"/>
      <c r="E920" s="44"/>
      <c r="F920" s="43"/>
      <c r="G920" s="43"/>
      <c r="H920" s="43"/>
      <c r="I920" s="46"/>
      <c r="J920" s="47"/>
      <c r="K920" s="48"/>
      <c r="L920" s="49"/>
      <c r="M920" s="49"/>
      <c r="N920" s="50"/>
      <c r="O920" s="43"/>
      <c r="P920" s="43"/>
      <c r="Q920" s="44"/>
      <c r="R920" s="35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43"/>
      <c r="B921" s="40"/>
      <c r="C921" s="44"/>
      <c r="D921" s="45"/>
      <c r="E921" s="44"/>
      <c r="F921" s="43"/>
      <c r="G921" s="43"/>
      <c r="H921" s="43"/>
      <c r="I921" s="46"/>
      <c r="J921" s="47"/>
      <c r="K921" s="48"/>
      <c r="L921" s="49"/>
      <c r="M921" s="49"/>
      <c r="N921" s="50"/>
      <c r="O921" s="43"/>
      <c r="P921" s="43"/>
      <c r="Q921" s="44"/>
      <c r="R921" s="35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43"/>
      <c r="B922" s="40"/>
      <c r="C922" s="44"/>
      <c r="D922" s="45"/>
      <c r="E922" s="44"/>
      <c r="F922" s="43"/>
      <c r="G922" s="43"/>
      <c r="H922" s="43"/>
      <c r="I922" s="46"/>
      <c r="J922" s="47"/>
      <c r="K922" s="48"/>
      <c r="L922" s="49"/>
      <c r="M922" s="49"/>
      <c r="N922" s="50"/>
      <c r="O922" s="43"/>
      <c r="P922" s="43"/>
      <c r="Q922" s="44"/>
      <c r="R922" s="35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43"/>
      <c r="B923" s="40"/>
      <c r="C923" s="44"/>
      <c r="D923" s="45"/>
      <c r="E923" s="44"/>
      <c r="F923" s="43"/>
      <c r="G923" s="43"/>
      <c r="H923" s="43"/>
      <c r="I923" s="46"/>
      <c r="J923" s="47"/>
      <c r="K923" s="48"/>
      <c r="L923" s="49"/>
      <c r="M923" s="49"/>
      <c r="N923" s="50"/>
      <c r="O923" s="43"/>
      <c r="P923" s="43"/>
      <c r="Q923" s="44"/>
      <c r="R923" s="35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43"/>
      <c r="B924" s="40"/>
      <c r="C924" s="44"/>
      <c r="D924" s="45"/>
      <c r="E924" s="44"/>
      <c r="F924" s="43"/>
      <c r="G924" s="43"/>
      <c r="H924" s="43"/>
      <c r="I924" s="46"/>
      <c r="J924" s="47"/>
      <c r="K924" s="48"/>
      <c r="L924" s="49"/>
      <c r="M924" s="49"/>
      <c r="N924" s="50"/>
      <c r="O924" s="43"/>
      <c r="P924" s="43"/>
      <c r="Q924" s="44"/>
      <c r="R924" s="35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43"/>
      <c r="B925" s="40"/>
      <c r="C925" s="44"/>
      <c r="D925" s="45"/>
      <c r="E925" s="44"/>
      <c r="F925" s="43"/>
      <c r="G925" s="43"/>
      <c r="H925" s="43"/>
      <c r="I925" s="46"/>
      <c r="J925" s="47"/>
      <c r="K925" s="48"/>
      <c r="L925" s="49"/>
      <c r="M925" s="49"/>
      <c r="N925" s="50"/>
      <c r="O925" s="43"/>
      <c r="P925" s="43"/>
      <c r="Q925" s="44"/>
      <c r="R925" s="35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43"/>
      <c r="B926" s="40"/>
      <c r="C926" s="44"/>
      <c r="D926" s="45"/>
      <c r="E926" s="44"/>
      <c r="F926" s="43"/>
      <c r="G926" s="43"/>
      <c r="H926" s="43"/>
      <c r="I926" s="46"/>
      <c r="J926" s="47"/>
      <c r="K926" s="48"/>
      <c r="L926" s="49"/>
      <c r="M926" s="49"/>
      <c r="N926" s="50"/>
      <c r="O926" s="43"/>
      <c r="P926" s="43"/>
      <c r="Q926" s="44"/>
      <c r="R926" s="35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43"/>
      <c r="B927" s="40"/>
      <c r="C927" s="44"/>
      <c r="D927" s="45"/>
      <c r="E927" s="44"/>
      <c r="F927" s="43"/>
      <c r="G927" s="43"/>
      <c r="H927" s="43"/>
      <c r="I927" s="46"/>
      <c r="J927" s="47"/>
      <c r="K927" s="48"/>
      <c r="L927" s="49"/>
      <c r="M927" s="49"/>
      <c r="N927" s="50"/>
      <c r="O927" s="43"/>
      <c r="P927" s="43"/>
      <c r="Q927" s="44"/>
      <c r="R927" s="35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43"/>
      <c r="B928" s="40"/>
      <c r="C928" s="44"/>
      <c r="D928" s="45"/>
      <c r="E928" s="44"/>
      <c r="F928" s="43"/>
      <c r="G928" s="43"/>
      <c r="H928" s="43"/>
      <c r="I928" s="46"/>
      <c r="J928" s="47"/>
      <c r="K928" s="48"/>
      <c r="L928" s="49"/>
      <c r="M928" s="49"/>
      <c r="N928" s="50"/>
      <c r="O928" s="43"/>
      <c r="P928" s="43"/>
      <c r="Q928" s="44"/>
      <c r="R928" s="35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43"/>
      <c r="B929" s="40"/>
      <c r="C929" s="44"/>
      <c r="D929" s="45"/>
      <c r="E929" s="44"/>
      <c r="F929" s="43"/>
      <c r="G929" s="43"/>
      <c r="H929" s="43"/>
      <c r="I929" s="46"/>
      <c r="J929" s="47"/>
      <c r="K929" s="48"/>
      <c r="L929" s="49"/>
      <c r="M929" s="49"/>
      <c r="N929" s="50"/>
      <c r="O929" s="43"/>
      <c r="P929" s="43"/>
      <c r="Q929" s="44"/>
      <c r="R929" s="35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43"/>
      <c r="B930" s="40"/>
      <c r="C930" s="44"/>
      <c r="D930" s="45"/>
      <c r="E930" s="44"/>
      <c r="F930" s="43"/>
      <c r="G930" s="43"/>
      <c r="H930" s="43"/>
      <c r="I930" s="46"/>
      <c r="J930" s="47"/>
      <c r="K930" s="48"/>
      <c r="L930" s="49"/>
      <c r="M930" s="49"/>
      <c r="N930" s="50"/>
      <c r="O930" s="43"/>
      <c r="P930" s="43"/>
      <c r="Q930" s="44"/>
      <c r="R930" s="35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43"/>
      <c r="B931" s="40"/>
      <c r="C931" s="44"/>
      <c r="D931" s="45"/>
      <c r="E931" s="44"/>
      <c r="F931" s="43"/>
      <c r="G931" s="43"/>
      <c r="H931" s="43"/>
      <c r="I931" s="46"/>
      <c r="J931" s="47"/>
      <c r="K931" s="48"/>
      <c r="L931" s="49"/>
      <c r="M931" s="49"/>
      <c r="N931" s="50"/>
      <c r="O931" s="43"/>
      <c r="P931" s="43"/>
      <c r="Q931" s="44"/>
      <c r="R931" s="35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43"/>
      <c r="B932" s="40"/>
      <c r="C932" s="44"/>
      <c r="D932" s="45"/>
      <c r="E932" s="44"/>
      <c r="F932" s="43"/>
      <c r="G932" s="43"/>
      <c r="H932" s="43"/>
      <c r="I932" s="46"/>
      <c r="J932" s="47"/>
      <c r="K932" s="48"/>
      <c r="L932" s="49"/>
      <c r="M932" s="49"/>
      <c r="N932" s="50"/>
      <c r="O932" s="43"/>
      <c r="P932" s="43"/>
      <c r="Q932" s="44"/>
      <c r="R932" s="35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43"/>
      <c r="B933" s="40"/>
      <c r="C933" s="44"/>
      <c r="D933" s="45"/>
      <c r="E933" s="44"/>
      <c r="F933" s="43"/>
      <c r="G933" s="43"/>
      <c r="H933" s="43"/>
      <c r="I933" s="46"/>
      <c r="J933" s="47"/>
      <c r="K933" s="48"/>
      <c r="L933" s="49"/>
      <c r="M933" s="49"/>
      <c r="N933" s="50"/>
      <c r="O933" s="43"/>
      <c r="P933" s="43"/>
      <c r="Q933" s="44"/>
      <c r="R933" s="35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43"/>
      <c r="B934" s="40"/>
      <c r="C934" s="44"/>
      <c r="D934" s="45"/>
      <c r="E934" s="44"/>
      <c r="F934" s="43"/>
      <c r="G934" s="43"/>
      <c r="H934" s="43"/>
      <c r="I934" s="46"/>
      <c r="J934" s="47"/>
      <c r="K934" s="48"/>
      <c r="L934" s="49"/>
      <c r="M934" s="49"/>
      <c r="N934" s="50"/>
      <c r="O934" s="43"/>
      <c r="P934" s="43"/>
      <c r="Q934" s="44"/>
      <c r="R934" s="35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43"/>
      <c r="B935" s="40"/>
      <c r="C935" s="44"/>
      <c r="D935" s="45"/>
      <c r="E935" s="44"/>
      <c r="F935" s="43"/>
      <c r="G935" s="43"/>
      <c r="H935" s="43"/>
      <c r="I935" s="46"/>
      <c r="J935" s="47"/>
      <c r="K935" s="48"/>
      <c r="L935" s="49"/>
      <c r="M935" s="49"/>
      <c r="N935" s="50"/>
      <c r="O935" s="43"/>
      <c r="P935" s="43"/>
      <c r="Q935" s="44"/>
      <c r="R935" s="35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43"/>
      <c r="B936" s="40"/>
      <c r="C936" s="44"/>
      <c r="D936" s="45"/>
      <c r="E936" s="44"/>
      <c r="F936" s="43"/>
      <c r="G936" s="43"/>
      <c r="H936" s="43"/>
      <c r="I936" s="46"/>
      <c r="J936" s="47"/>
      <c r="K936" s="48"/>
      <c r="L936" s="49"/>
      <c r="M936" s="49"/>
      <c r="N936" s="50"/>
      <c r="O936" s="43"/>
      <c r="P936" s="43"/>
      <c r="Q936" s="44"/>
      <c r="R936" s="35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43"/>
      <c r="B937" s="40"/>
      <c r="C937" s="44"/>
      <c r="D937" s="45"/>
      <c r="E937" s="44"/>
      <c r="F937" s="43"/>
      <c r="G937" s="43"/>
      <c r="H937" s="43"/>
      <c r="I937" s="46"/>
      <c r="J937" s="47"/>
      <c r="K937" s="48"/>
      <c r="L937" s="49"/>
      <c r="M937" s="49"/>
      <c r="N937" s="50"/>
      <c r="O937" s="43"/>
      <c r="P937" s="43"/>
      <c r="Q937" s="44"/>
      <c r="R937" s="35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43"/>
      <c r="B938" s="40"/>
      <c r="C938" s="44"/>
      <c r="D938" s="45"/>
      <c r="E938" s="44"/>
      <c r="F938" s="43"/>
      <c r="G938" s="43"/>
      <c r="H938" s="43"/>
      <c r="I938" s="46"/>
      <c r="J938" s="47"/>
      <c r="K938" s="48"/>
      <c r="L938" s="49"/>
      <c r="M938" s="49"/>
      <c r="N938" s="50"/>
      <c r="O938" s="43"/>
      <c r="P938" s="43"/>
      <c r="Q938" s="44"/>
      <c r="R938" s="35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43"/>
      <c r="B939" s="40"/>
      <c r="C939" s="44"/>
      <c r="D939" s="45"/>
      <c r="E939" s="44"/>
      <c r="F939" s="43"/>
      <c r="G939" s="43"/>
      <c r="H939" s="43"/>
      <c r="I939" s="46"/>
      <c r="J939" s="47"/>
      <c r="K939" s="48"/>
      <c r="L939" s="49"/>
      <c r="M939" s="49"/>
      <c r="N939" s="50"/>
      <c r="O939" s="43"/>
      <c r="P939" s="43"/>
      <c r="Q939" s="44"/>
      <c r="R939" s="35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43"/>
      <c r="B940" s="40"/>
      <c r="C940" s="44"/>
      <c r="D940" s="45"/>
      <c r="E940" s="44"/>
      <c r="F940" s="43"/>
      <c r="G940" s="43"/>
      <c r="H940" s="43"/>
      <c r="I940" s="46"/>
      <c r="J940" s="47"/>
      <c r="K940" s="48"/>
      <c r="L940" s="49"/>
      <c r="M940" s="49"/>
      <c r="N940" s="50"/>
      <c r="O940" s="43"/>
      <c r="P940" s="43"/>
      <c r="Q940" s="44"/>
      <c r="R940" s="35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43"/>
      <c r="B941" s="40"/>
      <c r="C941" s="44"/>
      <c r="D941" s="45"/>
      <c r="E941" s="44"/>
      <c r="F941" s="43"/>
      <c r="G941" s="43"/>
      <c r="H941" s="43"/>
      <c r="I941" s="46"/>
      <c r="J941" s="47"/>
      <c r="K941" s="48"/>
      <c r="L941" s="49"/>
      <c r="M941" s="49"/>
      <c r="N941" s="50"/>
      <c r="O941" s="43"/>
      <c r="P941" s="43"/>
      <c r="Q941" s="44"/>
      <c r="R941" s="35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43"/>
      <c r="B942" s="40"/>
      <c r="C942" s="44"/>
      <c r="D942" s="45"/>
      <c r="E942" s="44"/>
      <c r="F942" s="43"/>
      <c r="G942" s="43"/>
      <c r="H942" s="43"/>
      <c r="I942" s="46"/>
      <c r="J942" s="47"/>
      <c r="K942" s="48"/>
      <c r="L942" s="49"/>
      <c r="M942" s="49"/>
      <c r="N942" s="50"/>
      <c r="O942" s="43"/>
      <c r="P942" s="43"/>
      <c r="Q942" s="44"/>
      <c r="R942" s="35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43"/>
      <c r="B943" s="40"/>
      <c r="C943" s="44"/>
      <c r="D943" s="45"/>
      <c r="E943" s="44"/>
      <c r="F943" s="43"/>
      <c r="G943" s="43"/>
      <c r="H943" s="43"/>
      <c r="I943" s="46"/>
      <c r="J943" s="47"/>
      <c r="K943" s="48"/>
      <c r="L943" s="49"/>
      <c r="M943" s="49"/>
      <c r="N943" s="50"/>
      <c r="O943" s="43"/>
      <c r="P943" s="43"/>
      <c r="Q943" s="44"/>
      <c r="R943" s="35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43"/>
      <c r="B944" s="40"/>
      <c r="C944" s="44"/>
      <c r="D944" s="45"/>
      <c r="E944" s="44"/>
      <c r="F944" s="43"/>
      <c r="G944" s="43"/>
      <c r="H944" s="43"/>
      <c r="I944" s="46"/>
      <c r="J944" s="47"/>
      <c r="K944" s="48"/>
      <c r="L944" s="49"/>
      <c r="M944" s="49"/>
      <c r="N944" s="50"/>
      <c r="O944" s="43"/>
      <c r="P944" s="43"/>
      <c r="Q944" s="44"/>
      <c r="R944" s="35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43"/>
      <c r="B945" s="40"/>
      <c r="C945" s="44"/>
      <c r="D945" s="45"/>
      <c r="E945" s="44"/>
      <c r="F945" s="43"/>
      <c r="G945" s="43"/>
      <c r="H945" s="43"/>
      <c r="I945" s="46"/>
      <c r="J945" s="47"/>
      <c r="K945" s="48"/>
      <c r="L945" s="49"/>
      <c r="M945" s="49"/>
      <c r="N945" s="50"/>
      <c r="O945" s="43"/>
      <c r="P945" s="43"/>
      <c r="Q945" s="44"/>
      <c r="R945" s="35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43"/>
      <c r="B946" s="40"/>
      <c r="C946" s="44"/>
      <c r="D946" s="45"/>
      <c r="E946" s="44"/>
      <c r="F946" s="43"/>
      <c r="G946" s="43"/>
      <c r="H946" s="43"/>
      <c r="I946" s="46"/>
      <c r="J946" s="47"/>
      <c r="K946" s="48"/>
      <c r="L946" s="49"/>
      <c r="M946" s="49"/>
      <c r="N946" s="50"/>
      <c r="O946" s="43"/>
      <c r="P946" s="43"/>
      <c r="Q946" s="44"/>
      <c r="R946" s="35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43"/>
      <c r="B947" s="40"/>
      <c r="C947" s="44"/>
      <c r="D947" s="45"/>
      <c r="E947" s="44"/>
      <c r="F947" s="43"/>
      <c r="G947" s="43"/>
      <c r="H947" s="43"/>
      <c r="I947" s="46"/>
      <c r="J947" s="47"/>
      <c r="K947" s="48"/>
      <c r="L947" s="49"/>
      <c r="M947" s="49"/>
      <c r="N947" s="50"/>
      <c r="O947" s="43"/>
      <c r="P947" s="43"/>
      <c r="Q947" s="44"/>
      <c r="R947" s="35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43"/>
      <c r="B948" s="40"/>
      <c r="C948" s="44"/>
      <c r="D948" s="45"/>
      <c r="E948" s="44"/>
      <c r="F948" s="43"/>
      <c r="G948" s="43"/>
      <c r="H948" s="43"/>
      <c r="I948" s="46"/>
      <c r="J948" s="47"/>
      <c r="K948" s="48"/>
      <c r="L948" s="49"/>
      <c r="M948" s="49"/>
      <c r="N948" s="50"/>
      <c r="O948" s="43"/>
      <c r="P948" s="43"/>
      <c r="Q948" s="44"/>
      <c r="R948" s="35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43"/>
      <c r="B949" s="40"/>
      <c r="C949" s="44"/>
      <c r="D949" s="45"/>
      <c r="E949" s="44"/>
      <c r="F949" s="43"/>
      <c r="G949" s="43"/>
      <c r="H949" s="43"/>
      <c r="I949" s="46"/>
      <c r="J949" s="47"/>
      <c r="K949" s="48"/>
      <c r="L949" s="49"/>
      <c r="M949" s="49"/>
      <c r="N949" s="50"/>
      <c r="O949" s="43"/>
      <c r="P949" s="43"/>
      <c r="Q949" s="44"/>
      <c r="R949" s="35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43"/>
      <c r="B950" s="40"/>
      <c r="C950" s="44"/>
      <c r="D950" s="45"/>
      <c r="E950" s="44"/>
      <c r="F950" s="43"/>
      <c r="G950" s="43"/>
      <c r="H950" s="43"/>
      <c r="I950" s="46"/>
      <c r="J950" s="47"/>
      <c r="K950" s="48"/>
      <c r="L950" s="49"/>
      <c r="M950" s="49"/>
      <c r="N950" s="50"/>
      <c r="O950" s="43"/>
      <c r="P950" s="43"/>
      <c r="Q950" s="44"/>
      <c r="R950" s="35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43"/>
      <c r="B951" s="40"/>
      <c r="C951" s="44"/>
      <c r="D951" s="45"/>
      <c r="E951" s="44"/>
      <c r="F951" s="43"/>
      <c r="G951" s="43"/>
      <c r="H951" s="43"/>
      <c r="I951" s="46"/>
      <c r="J951" s="47"/>
      <c r="K951" s="48"/>
      <c r="L951" s="49"/>
      <c r="M951" s="49"/>
      <c r="N951" s="50"/>
      <c r="O951" s="43"/>
      <c r="P951" s="43"/>
      <c r="Q951" s="44"/>
      <c r="R951" s="35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43"/>
      <c r="B952" s="40"/>
      <c r="C952" s="44"/>
      <c r="D952" s="45"/>
      <c r="E952" s="44"/>
      <c r="F952" s="43"/>
      <c r="G952" s="43"/>
      <c r="H952" s="43"/>
      <c r="I952" s="46"/>
      <c r="J952" s="47"/>
      <c r="K952" s="48"/>
      <c r="L952" s="49"/>
      <c r="M952" s="49"/>
      <c r="N952" s="50"/>
      <c r="O952" s="43"/>
      <c r="P952" s="43"/>
      <c r="Q952" s="44"/>
      <c r="R952" s="35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43"/>
      <c r="B953" s="40"/>
      <c r="C953" s="44"/>
      <c r="D953" s="45"/>
      <c r="E953" s="44"/>
      <c r="F953" s="43"/>
      <c r="G953" s="43"/>
      <c r="H953" s="43"/>
      <c r="I953" s="46"/>
      <c r="J953" s="47"/>
      <c r="K953" s="48"/>
      <c r="L953" s="49"/>
      <c r="M953" s="49"/>
      <c r="N953" s="50"/>
      <c r="O953" s="43"/>
      <c r="P953" s="43"/>
      <c r="Q953" s="44"/>
      <c r="R953" s="35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43"/>
      <c r="B954" s="40"/>
      <c r="C954" s="44"/>
      <c r="D954" s="45"/>
      <c r="E954" s="44"/>
      <c r="F954" s="43"/>
      <c r="G954" s="43"/>
      <c r="H954" s="43"/>
      <c r="I954" s="46"/>
      <c r="J954" s="47"/>
      <c r="K954" s="48"/>
      <c r="L954" s="49"/>
      <c r="M954" s="49"/>
      <c r="N954" s="50"/>
      <c r="O954" s="43"/>
      <c r="P954" s="43"/>
      <c r="Q954" s="44"/>
      <c r="R954" s="35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43"/>
      <c r="B955" s="40"/>
      <c r="C955" s="44"/>
      <c r="D955" s="45"/>
      <c r="E955" s="44"/>
      <c r="F955" s="43"/>
      <c r="G955" s="43"/>
      <c r="H955" s="43"/>
      <c r="I955" s="46"/>
      <c r="J955" s="47"/>
      <c r="K955" s="48"/>
      <c r="L955" s="49"/>
      <c r="M955" s="49"/>
      <c r="N955" s="50"/>
      <c r="O955" s="43"/>
      <c r="P955" s="43"/>
      <c r="Q955" s="44"/>
      <c r="R955" s="35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43"/>
      <c r="B956" s="40"/>
      <c r="C956" s="44"/>
      <c r="D956" s="45"/>
      <c r="E956" s="44"/>
      <c r="F956" s="43"/>
      <c r="G956" s="43"/>
      <c r="H956" s="43"/>
      <c r="I956" s="46"/>
      <c r="J956" s="47"/>
      <c r="K956" s="48"/>
      <c r="L956" s="49"/>
      <c r="M956" s="49"/>
      <c r="N956" s="50"/>
      <c r="O956" s="43"/>
      <c r="P956" s="43"/>
      <c r="Q956" s="44"/>
      <c r="R956" s="35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43"/>
      <c r="B957" s="40"/>
      <c r="C957" s="44"/>
      <c r="D957" s="45"/>
      <c r="E957" s="44"/>
      <c r="F957" s="43"/>
      <c r="G957" s="43"/>
      <c r="H957" s="43"/>
      <c r="I957" s="46"/>
      <c r="J957" s="47"/>
      <c r="K957" s="48"/>
      <c r="L957" s="49"/>
      <c r="M957" s="49"/>
      <c r="N957" s="50"/>
      <c r="O957" s="43"/>
      <c r="P957" s="43"/>
      <c r="Q957" s="44"/>
      <c r="R957" s="35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43"/>
      <c r="B958" s="40"/>
      <c r="C958" s="44"/>
      <c r="D958" s="45"/>
      <c r="E958" s="44"/>
      <c r="F958" s="43"/>
      <c r="G958" s="43"/>
      <c r="H958" s="43"/>
      <c r="I958" s="46"/>
      <c r="J958" s="47"/>
      <c r="K958" s="48"/>
      <c r="L958" s="49"/>
      <c r="M958" s="49"/>
      <c r="N958" s="50"/>
      <c r="O958" s="43"/>
      <c r="P958" s="43"/>
      <c r="Q958" s="44"/>
      <c r="R958" s="35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43"/>
      <c r="B959" s="40"/>
      <c r="C959" s="44"/>
      <c r="D959" s="45"/>
      <c r="E959" s="44"/>
      <c r="F959" s="43"/>
      <c r="G959" s="43"/>
      <c r="H959" s="43"/>
      <c r="I959" s="46"/>
      <c r="J959" s="47"/>
      <c r="K959" s="48"/>
      <c r="L959" s="49"/>
      <c r="M959" s="49"/>
      <c r="N959" s="50"/>
      <c r="O959" s="43"/>
      <c r="P959" s="43"/>
      <c r="Q959" s="44"/>
      <c r="R959" s="35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43"/>
      <c r="B960" s="40"/>
      <c r="C960" s="44"/>
      <c r="D960" s="45"/>
      <c r="E960" s="44"/>
      <c r="F960" s="43"/>
      <c r="G960" s="43"/>
      <c r="H960" s="43"/>
      <c r="I960" s="46"/>
      <c r="J960" s="47"/>
      <c r="K960" s="48"/>
      <c r="L960" s="49"/>
      <c r="M960" s="49"/>
      <c r="N960" s="50"/>
      <c r="O960" s="43"/>
      <c r="P960" s="43"/>
      <c r="Q960" s="44"/>
      <c r="R960" s="35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43"/>
      <c r="B961" s="40"/>
      <c r="C961" s="44"/>
      <c r="D961" s="45"/>
      <c r="E961" s="44"/>
      <c r="F961" s="43"/>
      <c r="G961" s="43"/>
      <c r="H961" s="43"/>
      <c r="I961" s="46"/>
      <c r="J961" s="47"/>
      <c r="K961" s="48"/>
      <c r="L961" s="49"/>
      <c r="M961" s="49"/>
      <c r="N961" s="50"/>
      <c r="O961" s="43"/>
      <c r="P961" s="43"/>
      <c r="Q961" s="44"/>
      <c r="R961" s="35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43"/>
      <c r="B962" s="40"/>
      <c r="C962" s="44"/>
      <c r="D962" s="45"/>
      <c r="E962" s="44"/>
      <c r="F962" s="43"/>
      <c r="G962" s="43"/>
      <c r="H962" s="43"/>
      <c r="I962" s="46"/>
      <c r="J962" s="47"/>
      <c r="K962" s="48"/>
      <c r="L962" s="49"/>
      <c r="M962" s="49"/>
      <c r="N962" s="50"/>
      <c r="O962" s="43"/>
      <c r="P962" s="43"/>
      <c r="Q962" s="44"/>
      <c r="R962" s="35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43"/>
      <c r="B963" s="40"/>
      <c r="C963" s="44"/>
      <c r="D963" s="45"/>
      <c r="E963" s="44"/>
      <c r="F963" s="43"/>
      <c r="G963" s="43"/>
      <c r="H963" s="43"/>
      <c r="I963" s="46"/>
      <c r="J963" s="47"/>
      <c r="K963" s="48"/>
      <c r="L963" s="49"/>
      <c r="M963" s="49"/>
      <c r="N963" s="50"/>
      <c r="O963" s="43"/>
      <c r="P963" s="43"/>
      <c r="Q963" s="44"/>
      <c r="R963" s="35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43"/>
      <c r="B964" s="40"/>
      <c r="C964" s="44"/>
      <c r="D964" s="45"/>
      <c r="E964" s="44"/>
      <c r="F964" s="43"/>
      <c r="G964" s="43"/>
      <c r="H964" s="43"/>
      <c r="I964" s="46"/>
      <c r="J964" s="47"/>
      <c r="K964" s="48"/>
      <c r="L964" s="49"/>
      <c r="M964" s="49"/>
      <c r="N964" s="50"/>
      <c r="O964" s="43"/>
      <c r="P964" s="43"/>
      <c r="Q964" s="44"/>
      <c r="R964" s="35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43"/>
      <c r="B965" s="40"/>
      <c r="C965" s="44"/>
      <c r="D965" s="45"/>
      <c r="E965" s="44"/>
      <c r="F965" s="43"/>
      <c r="G965" s="43"/>
      <c r="H965" s="43"/>
      <c r="I965" s="46"/>
      <c r="J965" s="47"/>
      <c r="K965" s="48"/>
      <c r="L965" s="49"/>
      <c r="M965" s="49"/>
      <c r="N965" s="50"/>
      <c r="O965" s="43"/>
      <c r="P965" s="43"/>
      <c r="Q965" s="44"/>
      <c r="R965" s="35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43"/>
      <c r="B966" s="40"/>
      <c r="C966" s="44"/>
      <c r="D966" s="45"/>
      <c r="E966" s="44"/>
      <c r="F966" s="43"/>
      <c r="G966" s="43"/>
      <c r="H966" s="43"/>
      <c r="I966" s="46"/>
      <c r="J966" s="47"/>
      <c r="K966" s="48"/>
      <c r="L966" s="49"/>
      <c r="M966" s="49"/>
      <c r="N966" s="50"/>
      <c r="O966" s="43"/>
      <c r="P966" s="43"/>
      <c r="Q966" s="44"/>
      <c r="R966" s="35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43"/>
      <c r="B967" s="40"/>
      <c r="C967" s="44"/>
      <c r="D967" s="45"/>
      <c r="E967" s="44"/>
      <c r="F967" s="43"/>
      <c r="G967" s="43"/>
      <c r="H967" s="43"/>
      <c r="I967" s="46"/>
      <c r="J967" s="47"/>
      <c r="K967" s="48"/>
      <c r="L967" s="49"/>
      <c r="M967" s="49"/>
      <c r="N967" s="50"/>
      <c r="O967" s="43"/>
      <c r="P967" s="43"/>
      <c r="Q967" s="44"/>
      <c r="R967" s="35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43"/>
      <c r="B968" s="40"/>
      <c r="C968" s="44"/>
      <c r="D968" s="45"/>
      <c r="E968" s="44"/>
      <c r="F968" s="43"/>
      <c r="G968" s="43"/>
      <c r="H968" s="43"/>
      <c r="I968" s="46"/>
      <c r="J968" s="47"/>
      <c r="K968" s="48"/>
      <c r="L968" s="49"/>
      <c r="M968" s="49"/>
      <c r="N968" s="50"/>
      <c r="O968" s="43"/>
      <c r="P968" s="43"/>
      <c r="Q968" s="44"/>
      <c r="R968" s="35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43"/>
      <c r="B969" s="40"/>
      <c r="C969" s="44"/>
      <c r="D969" s="45"/>
      <c r="E969" s="44"/>
      <c r="F969" s="43"/>
      <c r="G969" s="43"/>
      <c r="H969" s="43"/>
      <c r="I969" s="46"/>
      <c r="J969" s="47"/>
      <c r="K969" s="48"/>
      <c r="L969" s="49"/>
      <c r="M969" s="49"/>
      <c r="N969" s="50"/>
      <c r="O969" s="43"/>
      <c r="P969" s="43"/>
      <c r="Q969" s="44"/>
      <c r="R969" s="35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43"/>
      <c r="B970" s="40"/>
      <c r="C970" s="44"/>
      <c r="D970" s="45"/>
      <c r="E970" s="44"/>
      <c r="F970" s="43"/>
      <c r="G970" s="43"/>
      <c r="H970" s="43"/>
      <c r="I970" s="46"/>
      <c r="J970" s="47"/>
      <c r="K970" s="48"/>
      <c r="L970" s="49"/>
      <c r="M970" s="49"/>
      <c r="N970" s="50"/>
      <c r="O970" s="43"/>
      <c r="P970" s="43"/>
      <c r="Q970" s="44"/>
      <c r="R970" s="35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43"/>
      <c r="B971" s="40"/>
      <c r="C971" s="44"/>
      <c r="D971" s="45"/>
      <c r="E971" s="44"/>
      <c r="F971" s="43"/>
      <c r="G971" s="43"/>
      <c r="H971" s="43"/>
      <c r="I971" s="46"/>
      <c r="J971" s="47"/>
      <c r="K971" s="48"/>
      <c r="L971" s="49"/>
      <c r="M971" s="49"/>
      <c r="N971" s="50"/>
      <c r="O971" s="43"/>
      <c r="P971" s="43"/>
      <c r="Q971" s="44"/>
      <c r="R971" s="35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43"/>
      <c r="B972" s="40"/>
      <c r="C972" s="44"/>
      <c r="D972" s="45"/>
      <c r="E972" s="44"/>
      <c r="F972" s="43"/>
      <c r="G972" s="43"/>
      <c r="H972" s="43"/>
      <c r="I972" s="46"/>
      <c r="J972" s="47"/>
      <c r="K972" s="48"/>
      <c r="L972" s="49"/>
      <c r="M972" s="49"/>
      <c r="N972" s="50"/>
      <c r="O972" s="43"/>
      <c r="P972" s="43"/>
      <c r="Q972" s="44"/>
      <c r="R972" s="35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43"/>
      <c r="B973" s="40"/>
      <c r="C973" s="44"/>
      <c r="D973" s="45"/>
      <c r="E973" s="44"/>
      <c r="F973" s="43"/>
      <c r="G973" s="43"/>
      <c r="H973" s="43"/>
      <c r="I973" s="46"/>
      <c r="J973" s="47"/>
      <c r="K973" s="48"/>
      <c r="L973" s="49"/>
      <c r="M973" s="49"/>
      <c r="N973" s="50"/>
      <c r="O973" s="43"/>
      <c r="P973" s="43"/>
      <c r="Q973" s="44"/>
      <c r="R973" s="35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43"/>
      <c r="B974" s="40"/>
      <c r="C974" s="44"/>
      <c r="D974" s="45"/>
      <c r="E974" s="44"/>
      <c r="F974" s="43"/>
      <c r="G974" s="43"/>
      <c r="H974" s="43"/>
      <c r="I974" s="46"/>
      <c r="J974" s="47"/>
      <c r="K974" s="48"/>
      <c r="L974" s="49"/>
      <c r="M974" s="49"/>
      <c r="N974" s="50"/>
      <c r="O974" s="43"/>
      <c r="P974" s="43"/>
      <c r="Q974" s="44"/>
      <c r="R974" s="35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43"/>
      <c r="B975" s="40"/>
      <c r="C975" s="44"/>
      <c r="D975" s="45"/>
      <c r="E975" s="44"/>
      <c r="F975" s="43"/>
      <c r="G975" s="43"/>
      <c r="H975" s="43"/>
      <c r="I975" s="46"/>
      <c r="J975" s="47"/>
      <c r="K975" s="48"/>
      <c r="L975" s="49"/>
      <c r="M975" s="49"/>
      <c r="N975" s="50"/>
      <c r="O975" s="43"/>
      <c r="P975" s="43"/>
      <c r="Q975" s="44"/>
      <c r="R975" s="35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43"/>
      <c r="B976" s="40"/>
      <c r="C976" s="44"/>
      <c r="D976" s="45"/>
      <c r="E976" s="44"/>
      <c r="F976" s="43"/>
      <c r="G976" s="43"/>
      <c r="H976" s="43"/>
      <c r="I976" s="46"/>
      <c r="J976" s="47"/>
      <c r="K976" s="48"/>
      <c r="L976" s="49"/>
      <c r="M976" s="49"/>
      <c r="N976" s="50"/>
      <c r="O976" s="43"/>
      <c r="P976" s="43"/>
      <c r="Q976" s="44"/>
      <c r="R976" s="35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43"/>
      <c r="B977" s="40"/>
      <c r="C977" s="44"/>
      <c r="D977" s="45"/>
      <c r="E977" s="44"/>
      <c r="F977" s="43"/>
      <c r="G977" s="43"/>
      <c r="H977" s="43"/>
      <c r="I977" s="46"/>
      <c r="J977" s="47"/>
      <c r="K977" s="48"/>
      <c r="L977" s="49"/>
      <c r="M977" s="49"/>
      <c r="N977" s="50"/>
      <c r="O977" s="43"/>
      <c r="P977" s="43"/>
      <c r="Q977" s="44"/>
      <c r="R977" s="35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43"/>
      <c r="B978" s="40"/>
      <c r="C978" s="44"/>
      <c r="D978" s="45"/>
      <c r="E978" s="44"/>
      <c r="F978" s="43"/>
      <c r="G978" s="43"/>
      <c r="H978" s="43"/>
      <c r="I978" s="46"/>
      <c r="J978" s="47"/>
      <c r="K978" s="48"/>
      <c r="L978" s="49"/>
      <c r="M978" s="49"/>
      <c r="N978" s="50"/>
      <c r="O978" s="43"/>
      <c r="P978" s="43"/>
      <c r="Q978" s="44"/>
      <c r="R978" s="35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43"/>
      <c r="B979" s="40"/>
      <c r="C979" s="44"/>
      <c r="D979" s="45"/>
      <c r="E979" s="44"/>
      <c r="F979" s="43"/>
      <c r="G979" s="43"/>
      <c r="H979" s="43"/>
      <c r="I979" s="46"/>
      <c r="J979" s="47"/>
      <c r="K979" s="48"/>
      <c r="L979" s="49"/>
      <c r="M979" s="49"/>
      <c r="N979" s="50"/>
      <c r="O979" s="43"/>
      <c r="P979" s="43"/>
      <c r="Q979" s="44"/>
      <c r="R979" s="35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43"/>
      <c r="B980" s="40"/>
      <c r="C980" s="44"/>
      <c r="D980" s="45"/>
      <c r="E980" s="44"/>
      <c r="F980" s="43"/>
      <c r="G980" s="43"/>
      <c r="H980" s="43"/>
      <c r="I980" s="46"/>
      <c r="J980" s="47"/>
      <c r="K980" s="48"/>
      <c r="L980" s="49"/>
      <c r="M980" s="49"/>
      <c r="N980" s="50"/>
      <c r="O980" s="43"/>
      <c r="P980" s="43"/>
      <c r="Q980" s="44"/>
      <c r="R980" s="35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43"/>
      <c r="B981" s="40"/>
      <c r="C981" s="44"/>
      <c r="D981" s="45"/>
      <c r="E981" s="44"/>
      <c r="F981" s="43"/>
      <c r="G981" s="43"/>
      <c r="H981" s="43"/>
      <c r="I981" s="46"/>
      <c r="J981" s="47"/>
      <c r="K981" s="48"/>
      <c r="L981" s="49"/>
      <c r="M981" s="49"/>
      <c r="N981" s="50"/>
      <c r="O981" s="43"/>
      <c r="P981" s="43"/>
      <c r="Q981" s="44"/>
      <c r="R981" s="35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43"/>
      <c r="B982" s="40"/>
      <c r="C982" s="44"/>
      <c r="D982" s="45"/>
      <c r="E982" s="44"/>
      <c r="F982" s="43"/>
      <c r="G982" s="43"/>
      <c r="H982" s="43"/>
      <c r="I982" s="46"/>
      <c r="J982" s="47"/>
      <c r="K982" s="48"/>
      <c r="L982" s="49"/>
      <c r="M982" s="49"/>
      <c r="N982" s="50"/>
      <c r="O982" s="43"/>
      <c r="P982" s="43"/>
      <c r="Q982" s="44"/>
      <c r="R982" s="35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43"/>
      <c r="B983" s="40"/>
      <c r="C983" s="44"/>
      <c r="D983" s="45"/>
      <c r="E983" s="44"/>
      <c r="F983" s="43"/>
      <c r="G983" s="43"/>
      <c r="H983" s="43"/>
      <c r="I983" s="46"/>
      <c r="J983" s="47"/>
      <c r="K983" s="48"/>
      <c r="L983" s="49"/>
      <c r="M983" s="49"/>
      <c r="N983" s="50"/>
      <c r="O983" s="43"/>
      <c r="P983" s="43"/>
      <c r="Q983" s="44"/>
      <c r="R983" s="35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43"/>
      <c r="B984" s="40"/>
      <c r="C984" s="44"/>
      <c r="D984" s="45"/>
      <c r="E984" s="44"/>
      <c r="F984" s="43"/>
      <c r="G984" s="43"/>
      <c r="H984" s="43"/>
      <c r="I984" s="46"/>
      <c r="J984" s="47"/>
      <c r="K984" s="48"/>
      <c r="L984" s="49"/>
      <c r="M984" s="49"/>
      <c r="N984" s="50"/>
      <c r="O984" s="43"/>
      <c r="P984" s="43"/>
      <c r="Q984" s="44"/>
      <c r="R984" s="35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43"/>
      <c r="B985" s="40"/>
      <c r="C985" s="44"/>
      <c r="D985" s="45"/>
      <c r="E985" s="44"/>
      <c r="F985" s="43"/>
      <c r="G985" s="43"/>
      <c r="H985" s="43"/>
      <c r="I985" s="46"/>
      <c r="J985" s="47"/>
      <c r="K985" s="48"/>
      <c r="L985" s="49"/>
      <c r="M985" s="49"/>
      <c r="N985" s="50"/>
      <c r="O985" s="43"/>
      <c r="P985" s="43"/>
      <c r="Q985" s="44"/>
      <c r="R985" s="35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43"/>
      <c r="B986" s="40"/>
      <c r="C986" s="44"/>
      <c r="D986" s="45"/>
      <c r="E986" s="44"/>
      <c r="F986" s="43"/>
      <c r="G986" s="43"/>
      <c r="H986" s="43"/>
      <c r="I986" s="46"/>
      <c r="J986" s="47"/>
      <c r="K986" s="48"/>
      <c r="L986" s="49"/>
      <c r="M986" s="49"/>
      <c r="N986" s="50"/>
      <c r="O986" s="43"/>
      <c r="P986" s="43"/>
      <c r="Q986" s="44"/>
      <c r="R986" s="35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43"/>
      <c r="B987" s="40"/>
      <c r="C987" s="44"/>
      <c r="D987" s="45"/>
      <c r="E987" s="44"/>
      <c r="F987" s="43"/>
      <c r="G987" s="43"/>
      <c r="H987" s="43"/>
      <c r="I987" s="46"/>
      <c r="J987" s="47"/>
      <c r="K987" s="48"/>
      <c r="L987" s="49"/>
      <c r="M987" s="49"/>
      <c r="N987" s="50"/>
      <c r="O987" s="43"/>
      <c r="P987" s="43"/>
      <c r="Q987" s="44"/>
      <c r="R987" s="35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43"/>
      <c r="B988" s="40"/>
      <c r="C988" s="44"/>
      <c r="D988" s="45"/>
      <c r="E988" s="44"/>
      <c r="F988" s="43"/>
      <c r="G988" s="43"/>
      <c r="H988" s="43"/>
      <c r="I988" s="46"/>
      <c r="J988" s="47"/>
      <c r="K988" s="48"/>
      <c r="L988" s="49"/>
      <c r="M988" s="49"/>
      <c r="N988" s="50"/>
      <c r="O988" s="43"/>
      <c r="P988" s="43"/>
      <c r="Q988" s="44"/>
      <c r="R988" s="35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43"/>
      <c r="B989" s="40"/>
      <c r="C989" s="44"/>
      <c r="D989" s="45"/>
      <c r="E989" s="44"/>
      <c r="F989" s="43"/>
      <c r="G989" s="43"/>
      <c r="H989" s="43"/>
      <c r="I989" s="46"/>
      <c r="J989" s="47"/>
      <c r="K989" s="48"/>
      <c r="L989" s="49"/>
      <c r="M989" s="49"/>
      <c r="N989" s="50"/>
      <c r="O989" s="43"/>
      <c r="P989" s="43"/>
      <c r="Q989" s="44"/>
      <c r="R989" s="35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43"/>
      <c r="B990" s="40"/>
      <c r="C990" s="44"/>
      <c r="D990" s="45"/>
      <c r="E990" s="44"/>
      <c r="F990" s="43"/>
      <c r="G990" s="43"/>
      <c r="H990" s="43"/>
      <c r="I990" s="46"/>
      <c r="J990" s="47"/>
      <c r="K990" s="48"/>
      <c r="L990" s="49"/>
      <c r="M990" s="49"/>
      <c r="N990" s="50"/>
      <c r="O990" s="43"/>
      <c r="P990" s="43"/>
      <c r="Q990" s="44"/>
      <c r="R990" s="35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43"/>
      <c r="B991" s="40"/>
      <c r="C991" s="44"/>
      <c r="D991" s="45"/>
      <c r="E991" s="44"/>
      <c r="F991" s="43"/>
      <c r="G991" s="43"/>
      <c r="H991" s="43"/>
      <c r="I991" s="46"/>
      <c r="J991" s="47"/>
      <c r="K991" s="48"/>
      <c r="L991" s="49"/>
      <c r="M991" s="49"/>
      <c r="N991" s="50"/>
      <c r="O991" s="43"/>
      <c r="P991" s="43"/>
      <c r="Q991" s="44"/>
      <c r="R991" s="35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43"/>
      <c r="B992" s="40"/>
      <c r="C992" s="44"/>
      <c r="D992" s="45"/>
      <c r="E992" s="44"/>
      <c r="F992" s="43"/>
      <c r="G992" s="43"/>
      <c r="H992" s="43"/>
      <c r="I992" s="46"/>
      <c r="J992" s="47"/>
      <c r="K992" s="48"/>
      <c r="L992" s="49"/>
      <c r="M992" s="49"/>
      <c r="N992" s="50"/>
      <c r="O992" s="43"/>
      <c r="P992" s="43"/>
      <c r="Q992" s="44"/>
      <c r="R992" s="35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43"/>
      <c r="B993" s="40"/>
      <c r="C993" s="44"/>
      <c r="D993" s="45"/>
      <c r="E993" s="44"/>
      <c r="F993" s="43"/>
      <c r="G993" s="43"/>
      <c r="H993" s="43"/>
      <c r="I993" s="46"/>
      <c r="J993" s="47"/>
      <c r="K993" s="48"/>
      <c r="L993" s="49"/>
      <c r="M993" s="49"/>
      <c r="N993" s="50"/>
      <c r="O993" s="43"/>
      <c r="P993" s="43"/>
      <c r="Q993" s="44"/>
      <c r="R993" s="35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43"/>
      <c r="B994" s="40"/>
      <c r="C994" s="44"/>
      <c r="D994" s="45"/>
      <c r="E994" s="44"/>
      <c r="F994" s="43"/>
      <c r="G994" s="43"/>
      <c r="H994" s="43"/>
      <c r="I994" s="46"/>
      <c r="J994" s="47"/>
      <c r="K994" s="48"/>
      <c r="L994" s="49"/>
      <c r="M994" s="49"/>
      <c r="N994" s="50"/>
      <c r="O994" s="43"/>
      <c r="P994" s="43"/>
      <c r="Q994" s="44"/>
      <c r="R994" s="35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43"/>
      <c r="B995" s="40"/>
      <c r="C995" s="44"/>
      <c r="D995" s="45"/>
      <c r="E995" s="44"/>
      <c r="F995" s="43"/>
      <c r="G995" s="43"/>
      <c r="H995" s="43"/>
      <c r="I995" s="46"/>
      <c r="J995" s="47"/>
      <c r="K995" s="48"/>
      <c r="L995" s="49"/>
      <c r="M995" s="49"/>
      <c r="N995" s="50"/>
      <c r="O995" s="43"/>
      <c r="P995" s="43"/>
      <c r="Q995" s="44"/>
      <c r="R995" s="35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43"/>
      <c r="B996" s="40"/>
      <c r="C996" s="44"/>
      <c r="D996" s="45"/>
      <c r="E996" s="44"/>
      <c r="F996" s="43"/>
      <c r="G996" s="43"/>
      <c r="H996" s="43"/>
      <c r="I996" s="46"/>
      <c r="J996" s="47"/>
      <c r="K996" s="48"/>
      <c r="L996" s="49"/>
      <c r="M996" s="49"/>
      <c r="N996" s="50"/>
      <c r="O996" s="43"/>
      <c r="P996" s="43"/>
      <c r="Q996" s="44"/>
      <c r="R996" s="35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43"/>
      <c r="B997" s="40"/>
      <c r="C997" s="44"/>
      <c r="D997" s="45"/>
      <c r="E997" s="44"/>
      <c r="F997" s="43"/>
      <c r="G997" s="43"/>
      <c r="H997" s="43"/>
      <c r="I997" s="46"/>
      <c r="J997" s="47"/>
      <c r="K997" s="48"/>
      <c r="L997" s="49"/>
      <c r="M997" s="49"/>
      <c r="N997" s="50"/>
      <c r="O997" s="43"/>
      <c r="P997" s="43"/>
      <c r="Q997" s="44"/>
      <c r="R997" s="35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43"/>
      <c r="B998" s="40"/>
      <c r="C998" s="44"/>
      <c r="D998" s="45"/>
      <c r="E998" s="44"/>
      <c r="F998" s="43"/>
      <c r="G998" s="43"/>
      <c r="H998" s="43"/>
      <c r="I998" s="46"/>
      <c r="J998" s="47"/>
      <c r="K998" s="48"/>
      <c r="L998" s="49"/>
      <c r="M998" s="49"/>
      <c r="N998" s="50"/>
      <c r="O998" s="43"/>
      <c r="P998" s="43"/>
      <c r="Q998" s="44"/>
      <c r="R998" s="35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43"/>
      <c r="B999" s="40"/>
      <c r="C999" s="44"/>
      <c r="D999" s="45"/>
      <c r="E999" s="44"/>
      <c r="F999" s="43"/>
      <c r="G999" s="43"/>
      <c r="H999" s="43"/>
      <c r="I999" s="46"/>
      <c r="J999" s="47"/>
      <c r="K999" s="48"/>
      <c r="L999" s="49"/>
      <c r="M999" s="49"/>
      <c r="N999" s="50"/>
      <c r="O999" s="43"/>
      <c r="P999" s="43"/>
      <c r="Q999" s="44"/>
      <c r="R999" s="35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</sheetData>
  <mergeCells count="9">
    <mergeCell ref="A73:Q73"/>
    <mergeCell ref="A81:Q81"/>
    <mergeCell ref="A2:I2"/>
    <mergeCell ref="A31:Q31"/>
    <mergeCell ref="A40:Q40"/>
    <mergeCell ref="A56:Q56"/>
    <mergeCell ref="A58:Q58"/>
    <mergeCell ref="A60:Q60"/>
    <mergeCell ref="A62:Q62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1" t="s">
        <v>255</v>
      </c>
      <c r="B1" s="51" t="s">
        <v>256</v>
      </c>
      <c r="C1" s="51" t="s">
        <v>257</v>
      </c>
      <c r="D1" s="51" t="s">
        <v>258</v>
      </c>
      <c r="E1" s="51" t="s">
        <v>259</v>
      </c>
      <c r="F1" s="51" t="s">
        <v>260</v>
      </c>
      <c r="G1" s="51" t="s">
        <v>261</v>
      </c>
    </row>
    <row r="2">
      <c r="A2" s="52" t="s">
        <v>262</v>
      </c>
      <c r="B2" s="52" t="s">
        <v>263</v>
      </c>
      <c r="C2" s="52" t="s">
        <v>264</v>
      </c>
      <c r="D2" s="52" t="s">
        <v>265</v>
      </c>
      <c r="E2" s="52" t="s">
        <v>266</v>
      </c>
      <c r="F2" s="52" t="s">
        <v>267</v>
      </c>
      <c r="G2" s="52" t="s">
        <v>268</v>
      </c>
    </row>
    <row r="3">
      <c r="A3" s="52" t="s">
        <v>269</v>
      </c>
      <c r="B3" s="52" t="s">
        <v>270</v>
      </c>
      <c r="C3" s="52" t="s">
        <v>271</v>
      </c>
      <c r="D3" s="52" t="s">
        <v>272</v>
      </c>
      <c r="E3" s="52" t="s">
        <v>273</v>
      </c>
      <c r="F3" s="52" t="s">
        <v>274</v>
      </c>
      <c r="G3" s="52" t="s">
        <v>275</v>
      </c>
    </row>
    <row r="4">
      <c r="A4" s="52" t="s">
        <v>276</v>
      </c>
      <c r="B4" s="52" t="s">
        <v>277</v>
      </c>
      <c r="C4" s="52" t="s">
        <v>278</v>
      </c>
      <c r="D4" s="52" t="s">
        <v>265</v>
      </c>
      <c r="E4" s="52" t="s">
        <v>279</v>
      </c>
      <c r="F4" s="52" t="s">
        <v>280</v>
      </c>
      <c r="G4" s="52" t="s">
        <v>281</v>
      </c>
    </row>
    <row r="5">
      <c r="A5" s="52" t="s">
        <v>282</v>
      </c>
      <c r="B5" s="52" t="s">
        <v>283</v>
      </c>
      <c r="C5" s="52" t="s">
        <v>284</v>
      </c>
      <c r="D5" s="52" t="s">
        <v>265</v>
      </c>
      <c r="E5" s="52" t="s">
        <v>285</v>
      </c>
      <c r="F5" s="52" t="s">
        <v>286</v>
      </c>
      <c r="G5" s="52" t="s">
        <v>287</v>
      </c>
    </row>
    <row r="6">
      <c r="A6" s="52" t="s">
        <v>288</v>
      </c>
      <c r="B6" s="52" t="s">
        <v>289</v>
      </c>
      <c r="C6" s="52" t="s">
        <v>290</v>
      </c>
      <c r="D6" s="52" t="s">
        <v>291</v>
      </c>
      <c r="E6" s="52" t="s">
        <v>292</v>
      </c>
      <c r="F6" s="52" t="s">
        <v>293</v>
      </c>
      <c r="G6" s="52" t="s">
        <v>294</v>
      </c>
    </row>
    <row r="7">
      <c r="A7" s="52" t="s">
        <v>295</v>
      </c>
      <c r="B7" s="52" t="s">
        <v>296</v>
      </c>
      <c r="C7" s="52" t="s">
        <v>297</v>
      </c>
      <c r="D7" s="52" t="s">
        <v>265</v>
      </c>
      <c r="E7" s="52" t="s">
        <v>298</v>
      </c>
      <c r="F7" s="52" t="s">
        <v>299</v>
      </c>
      <c r="G7" s="52" t="s">
        <v>300</v>
      </c>
    </row>
    <row r="10">
      <c r="A10" s="53" t="s">
        <v>301</v>
      </c>
      <c r="B10" s="53" t="s">
        <v>302</v>
      </c>
      <c r="C10" s="53" t="s">
        <v>303</v>
      </c>
      <c r="D10" s="53" t="s">
        <v>304</v>
      </c>
      <c r="E10" s="53" t="s">
        <v>305</v>
      </c>
      <c r="F10" s="53" t="s">
        <v>306</v>
      </c>
      <c r="G10" s="53" t="s">
        <v>307</v>
      </c>
    </row>
    <row r="11">
      <c r="A11" s="54" t="s">
        <v>262</v>
      </c>
      <c r="B11" s="55" t="s">
        <v>308</v>
      </c>
      <c r="C11" s="56" t="s">
        <v>309</v>
      </c>
      <c r="D11" s="55" t="s">
        <v>310</v>
      </c>
      <c r="E11" s="55" t="s">
        <v>311</v>
      </c>
      <c r="F11" s="55" t="s">
        <v>24</v>
      </c>
      <c r="G11" s="55" t="s">
        <v>312</v>
      </c>
    </row>
    <row r="12">
      <c r="A12" s="54" t="s">
        <v>269</v>
      </c>
      <c r="B12" s="55" t="s">
        <v>313</v>
      </c>
      <c r="C12" s="56" t="s">
        <v>314</v>
      </c>
      <c r="D12" s="55" t="s">
        <v>315</v>
      </c>
      <c r="E12" s="55" t="s">
        <v>316</v>
      </c>
      <c r="F12" s="55" t="s">
        <v>174</v>
      </c>
      <c r="G12" s="55" t="s">
        <v>317</v>
      </c>
    </row>
    <row r="13">
      <c r="A13" s="54" t="s">
        <v>276</v>
      </c>
      <c r="B13" s="55" t="s">
        <v>318</v>
      </c>
      <c r="C13" s="55" t="s">
        <v>319</v>
      </c>
      <c r="D13" s="55" t="s">
        <v>320</v>
      </c>
      <c r="E13" s="55" t="s">
        <v>321</v>
      </c>
      <c r="F13" s="55" t="s">
        <v>71</v>
      </c>
      <c r="G13" s="55" t="s">
        <v>322</v>
      </c>
    </row>
    <row r="14">
      <c r="A14" s="54" t="s">
        <v>282</v>
      </c>
      <c r="B14" s="55" t="s">
        <v>323</v>
      </c>
      <c r="C14" s="56" t="s">
        <v>324</v>
      </c>
      <c r="D14" s="55" t="s">
        <v>325</v>
      </c>
      <c r="E14" s="55" t="s">
        <v>326</v>
      </c>
      <c r="F14" s="55" t="s">
        <v>31</v>
      </c>
      <c r="G14" s="55" t="s">
        <v>327</v>
      </c>
    </row>
    <row r="15">
      <c r="A15" s="54" t="s">
        <v>328</v>
      </c>
      <c r="B15" s="55" t="s">
        <v>329</v>
      </c>
      <c r="C15" s="55" t="s">
        <v>330</v>
      </c>
      <c r="D15" s="55" t="s">
        <v>331</v>
      </c>
      <c r="E15" s="55" t="s">
        <v>332</v>
      </c>
      <c r="F15" s="55" t="s">
        <v>333</v>
      </c>
      <c r="G15" s="55" t="s">
        <v>334</v>
      </c>
    </row>
    <row r="16">
      <c r="A16" s="54" t="s">
        <v>295</v>
      </c>
      <c r="B16" s="55" t="s">
        <v>335</v>
      </c>
      <c r="C16" s="56" t="s">
        <v>336</v>
      </c>
      <c r="D16" s="55" t="s">
        <v>337</v>
      </c>
      <c r="E16" s="55" t="s">
        <v>338</v>
      </c>
      <c r="F16" s="55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8.75"/>
    <col customWidth="1" min="3" max="3" width="44.38"/>
    <col customWidth="1" min="4" max="4" width="8.88"/>
    <col customWidth="1" min="5" max="5" width="20.13"/>
    <col customWidth="1" min="6" max="6" width="12.38"/>
    <col customWidth="1" hidden="1" min="7" max="10" width="16.0"/>
    <col customWidth="1" min="11" max="11" width="13.63"/>
    <col customWidth="1" min="12" max="12" width="11.63"/>
    <col customWidth="1" min="13" max="13" width="10.88"/>
    <col customWidth="1" min="14" max="14" width="15.63"/>
    <col customWidth="1" hidden="1" min="15" max="16" width="16.0"/>
    <col customWidth="1" min="17" max="17" width="7.88"/>
    <col customWidth="1" min="18" max="18" width="14.75"/>
  </cols>
  <sheetData>
    <row r="1">
      <c r="A1" s="1" t="s">
        <v>0</v>
      </c>
      <c r="B1" s="2" t="s">
        <v>103</v>
      </c>
      <c r="C1" s="3" t="s">
        <v>1</v>
      </c>
      <c r="D1" s="1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 t="s">
        <v>7</v>
      </c>
      <c r="J1" s="6" t="s">
        <v>8</v>
      </c>
      <c r="K1" s="7" t="s">
        <v>7</v>
      </c>
      <c r="L1" s="8" t="s">
        <v>9</v>
      </c>
      <c r="M1" s="8" t="s">
        <v>8</v>
      </c>
      <c r="N1" s="9" t="s">
        <v>10</v>
      </c>
      <c r="O1" s="10" t="s">
        <v>11</v>
      </c>
      <c r="P1" s="11" t="s">
        <v>12</v>
      </c>
      <c r="Q1" s="12" t="s">
        <v>13</v>
      </c>
      <c r="R1" s="23">
        <v>46118.0</v>
      </c>
      <c r="S1" s="57">
        <v>1000.0</v>
      </c>
      <c r="T1" s="58">
        <v>17500.0</v>
      </c>
      <c r="U1" s="14"/>
      <c r="V1" s="14"/>
      <c r="W1" s="14"/>
      <c r="X1" s="14"/>
      <c r="Y1" s="14"/>
      <c r="Z1" s="14"/>
      <c r="AA1" s="14"/>
      <c r="AB1" s="14"/>
    </row>
    <row r="2">
      <c r="A2" s="24">
        <v>1.0</v>
      </c>
      <c r="B2" s="25" t="s">
        <v>15</v>
      </c>
      <c r="C2" s="26" t="s">
        <v>16</v>
      </c>
      <c r="D2" s="27" t="s">
        <v>17</v>
      </c>
      <c r="E2" s="26" t="s">
        <v>18</v>
      </c>
      <c r="F2" s="27">
        <v>24.0</v>
      </c>
      <c r="G2" s="28">
        <v>45.0</v>
      </c>
      <c r="H2" s="24">
        <v>5.0</v>
      </c>
      <c r="I2" s="29">
        <v>50.0</v>
      </c>
      <c r="J2" s="30" t="str">
        <f t="shared" ref="J2:J77" si="1">I2-(I2*#REF!)</f>
        <v>#REF!</v>
      </c>
      <c r="K2" s="31">
        <f t="shared" ref="K2:K33" si="2">I2*$S$1</f>
        <v>50000</v>
      </c>
      <c r="L2" s="32">
        <v>0.3</v>
      </c>
      <c r="M2" s="33">
        <f t="shared" ref="M2:M37" si="3">K2-(K2*L2)</f>
        <v>35000</v>
      </c>
      <c r="N2" s="20">
        <f t="shared" ref="N2:N77" si="4">K2*F2</f>
        <v>1200000</v>
      </c>
      <c r="O2" s="21"/>
      <c r="P2" s="21"/>
      <c r="Q2" s="34">
        <f t="shared" ref="Q2:Q77" si="5">ROUNDUP(K2/$T$1,0)</f>
        <v>3</v>
      </c>
      <c r="R2" s="13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4">
        <v>2.0</v>
      </c>
      <c r="B3" s="25" t="s">
        <v>19</v>
      </c>
      <c r="C3" s="26" t="s">
        <v>20</v>
      </c>
      <c r="D3" s="27" t="s">
        <v>17</v>
      </c>
      <c r="E3" s="26" t="s">
        <v>21</v>
      </c>
      <c r="F3" s="27">
        <v>24.0</v>
      </c>
      <c r="G3" s="28">
        <v>46.0</v>
      </c>
      <c r="H3" s="24">
        <v>5.0</v>
      </c>
      <c r="I3" s="29">
        <v>51.0</v>
      </c>
      <c r="J3" s="30" t="str">
        <f t="shared" si="1"/>
        <v>#REF!</v>
      </c>
      <c r="K3" s="31">
        <f t="shared" si="2"/>
        <v>51000</v>
      </c>
      <c r="L3" s="32">
        <v>0.3</v>
      </c>
      <c r="M3" s="33">
        <f t="shared" si="3"/>
        <v>35700</v>
      </c>
      <c r="N3" s="20">
        <f t="shared" si="4"/>
        <v>1224000</v>
      </c>
      <c r="O3" s="21"/>
      <c r="P3" s="21"/>
      <c r="Q3" s="34">
        <f t="shared" si="5"/>
        <v>3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24">
        <v>3.0</v>
      </c>
      <c r="B4" s="25" t="s">
        <v>22</v>
      </c>
      <c r="C4" s="26" t="s">
        <v>23</v>
      </c>
      <c r="D4" s="27" t="s">
        <v>24</v>
      </c>
      <c r="E4" s="26" t="s">
        <v>25</v>
      </c>
      <c r="F4" s="27">
        <v>12.0</v>
      </c>
      <c r="G4" s="28">
        <v>55.0</v>
      </c>
      <c r="H4" s="24">
        <v>6.0</v>
      </c>
      <c r="I4" s="29">
        <v>61.0</v>
      </c>
      <c r="J4" s="30" t="str">
        <f t="shared" si="1"/>
        <v>#REF!</v>
      </c>
      <c r="K4" s="31">
        <f t="shared" si="2"/>
        <v>61000</v>
      </c>
      <c r="L4" s="32">
        <v>0.18</v>
      </c>
      <c r="M4" s="33">
        <f t="shared" si="3"/>
        <v>50020</v>
      </c>
      <c r="N4" s="20">
        <f t="shared" si="4"/>
        <v>732000</v>
      </c>
      <c r="O4" s="21"/>
      <c r="P4" s="21"/>
      <c r="Q4" s="34">
        <f t="shared" si="5"/>
        <v>4</v>
      </c>
      <c r="R4" s="13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24">
        <v>4.0</v>
      </c>
      <c r="B5" s="25" t="s">
        <v>26</v>
      </c>
      <c r="C5" s="26" t="s">
        <v>27</v>
      </c>
      <c r="D5" s="27" t="s">
        <v>24</v>
      </c>
      <c r="E5" s="26" t="s">
        <v>28</v>
      </c>
      <c r="F5" s="27">
        <v>12.0</v>
      </c>
      <c r="G5" s="28">
        <v>55.0</v>
      </c>
      <c r="H5" s="24">
        <v>6.0</v>
      </c>
      <c r="I5" s="29">
        <v>61.0</v>
      </c>
      <c r="J5" s="30" t="str">
        <f t="shared" si="1"/>
        <v>#REF!</v>
      </c>
      <c r="K5" s="31">
        <f t="shared" si="2"/>
        <v>61000</v>
      </c>
      <c r="L5" s="32">
        <v>0.18</v>
      </c>
      <c r="M5" s="33">
        <f t="shared" si="3"/>
        <v>50020</v>
      </c>
      <c r="N5" s="20">
        <f t="shared" si="4"/>
        <v>732000</v>
      </c>
      <c r="O5" s="21"/>
      <c r="P5" s="21"/>
      <c r="Q5" s="34">
        <f t="shared" si="5"/>
        <v>4</v>
      </c>
      <c r="R5" s="13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24">
        <v>5.0</v>
      </c>
      <c r="B6" s="25" t="s">
        <v>29</v>
      </c>
      <c r="C6" s="26" t="s">
        <v>30</v>
      </c>
      <c r="D6" s="27" t="s">
        <v>31</v>
      </c>
      <c r="E6" s="26" t="s">
        <v>25</v>
      </c>
      <c r="F6" s="27">
        <v>12.0</v>
      </c>
      <c r="G6" s="28">
        <v>55.0</v>
      </c>
      <c r="H6" s="24">
        <v>6.0</v>
      </c>
      <c r="I6" s="29">
        <v>61.0</v>
      </c>
      <c r="J6" s="30" t="str">
        <f t="shared" si="1"/>
        <v>#REF!</v>
      </c>
      <c r="K6" s="31">
        <f t="shared" si="2"/>
        <v>61000</v>
      </c>
      <c r="L6" s="32">
        <v>0.18</v>
      </c>
      <c r="M6" s="33">
        <f t="shared" si="3"/>
        <v>50020</v>
      </c>
      <c r="N6" s="20">
        <f t="shared" si="4"/>
        <v>732000</v>
      </c>
      <c r="O6" s="21"/>
      <c r="P6" s="21"/>
      <c r="Q6" s="34">
        <f t="shared" si="5"/>
        <v>4</v>
      </c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24">
        <v>6.0</v>
      </c>
      <c r="B7" s="25" t="s">
        <v>32</v>
      </c>
      <c r="C7" s="26" t="s">
        <v>33</v>
      </c>
      <c r="D7" s="27" t="s">
        <v>31</v>
      </c>
      <c r="E7" s="26" t="s">
        <v>28</v>
      </c>
      <c r="F7" s="27">
        <v>12.0</v>
      </c>
      <c r="G7" s="28">
        <v>55.0</v>
      </c>
      <c r="H7" s="24">
        <v>6.0</v>
      </c>
      <c r="I7" s="29">
        <v>61.0</v>
      </c>
      <c r="J7" s="30" t="str">
        <f t="shared" si="1"/>
        <v>#REF!</v>
      </c>
      <c r="K7" s="31">
        <f t="shared" si="2"/>
        <v>61000</v>
      </c>
      <c r="L7" s="32">
        <v>0.18</v>
      </c>
      <c r="M7" s="33">
        <f t="shared" si="3"/>
        <v>50020</v>
      </c>
      <c r="N7" s="20">
        <f t="shared" si="4"/>
        <v>732000</v>
      </c>
      <c r="O7" s="21"/>
      <c r="P7" s="21"/>
      <c r="Q7" s="34">
        <f t="shared" si="5"/>
        <v>4</v>
      </c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24">
        <v>7.0</v>
      </c>
      <c r="B8" s="25" t="s">
        <v>34</v>
      </c>
      <c r="C8" s="26" t="s">
        <v>35</v>
      </c>
      <c r="D8" s="27" t="s">
        <v>36</v>
      </c>
      <c r="E8" s="26" t="s">
        <v>37</v>
      </c>
      <c r="F8" s="27">
        <v>12.0</v>
      </c>
      <c r="G8" s="28">
        <v>58.0</v>
      </c>
      <c r="H8" s="24">
        <v>6.0</v>
      </c>
      <c r="I8" s="29">
        <v>64.0</v>
      </c>
      <c r="J8" s="30" t="str">
        <f t="shared" si="1"/>
        <v>#REF!</v>
      </c>
      <c r="K8" s="31">
        <f t="shared" si="2"/>
        <v>64000</v>
      </c>
      <c r="L8" s="32">
        <v>0.18</v>
      </c>
      <c r="M8" s="33">
        <f t="shared" si="3"/>
        <v>52480</v>
      </c>
      <c r="N8" s="20">
        <f t="shared" si="4"/>
        <v>768000</v>
      </c>
      <c r="O8" s="21"/>
      <c r="P8" s="21"/>
      <c r="Q8" s="34">
        <f t="shared" si="5"/>
        <v>4</v>
      </c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24">
        <v>8.0</v>
      </c>
      <c r="B9" s="25" t="s">
        <v>38</v>
      </c>
      <c r="C9" s="26" t="s">
        <v>39</v>
      </c>
      <c r="D9" s="27" t="s">
        <v>40</v>
      </c>
      <c r="E9" s="26" t="s">
        <v>41</v>
      </c>
      <c r="F9" s="27">
        <v>12.0</v>
      </c>
      <c r="G9" s="28">
        <v>68.0</v>
      </c>
      <c r="H9" s="24">
        <v>7.0</v>
      </c>
      <c r="I9" s="29">
        <v>75.0</v>
      </c>
      <c r="J9" s="30" t="str">
        <f t="shared" si="1"/>
        <v>#REF!</v>
      </c>
      <c r="K9" s="31">
        <f t="shared" si="2"/>
        <v>75000</v>
      </c>
      <c r="L9" s="32">
        <v>0.18</v>
      </c>
      <c r="M9" s="33">
        <f t="shared" si="3"/>
        <v>61500</v>
      </c>
      <c r="N9" s="20">
        <f t="shared" si="4"/>
        <v>900000</v>
      </c>
      <c r="O9" s="21"/>
      <c r="P9" s="21"/>
      <c r="Q9" s="34">
        <f t="shared" si="5"/>
        <v>5</v>
      </c>
      <c r="R9" s="13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24">
        <v>9.0</v>
      </c>
      <c r="B10" s="25" t="s">
        <v>42</v>
      </c>
      <c r="C10" s="26" t="s">
        <v>43</v>
      </c>
      <c r="D10" s="27" t="s">
        <v>44</v>
      </c>
      <c r="E10" s="26" t="s">
        <v>45</v>
      </c>
      <c r="F10" s="27">
        <v>10.0</v>
      </c>
      <c r="G10" s="28">
        <v>68.0</v>
      </c>
      <c r="H10" s="24">
        <v>7.0</v>
      </c>
      <c r="I10" s="29">
        <v>75.0</v>
      </c>
      <c r="J10" s="30" t="str">
        <f t="shared" si="1"/>
        <v>#REF!</v>
      </c>
      <c r="K10" s="31">
        <f t="shared" si="2"/>
        <v>75000</v>
      </c>
      <c r="L10" s="32">
        <v>0.18</v>
      </c>
      <c r="M10" s="33">
        <f t="shared" si="3"/>
        <v>61500</v>
      </c>
      <c r="N10" s="20">
        <f t="shared" si="4"/>
        <v>750000</v>
      </c>
      <c r="O10" s="21"/>
      <c r="P10" s="21"/>
      <c r="Q10" s="34">
        <f t="shared" si="5"/>
        <v>5</v>
      </c>
      <c r="R10" s="13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24">
        <v>10.0</v>
      </c>
      <c r="B11" s="25" t="s">
        <v>46</v>
      </c>
      <c r="C11" s="26" t="s">
        <v>47</v>
      </c>
      <c r="D11" s="27" t="s">
        <v>48</v>
      </c>
      <c r="E11" s="26" t="s">
        <v>37</v>
      </c>
      <c r="F11" s="27">
        <v>12.0</v>
      </c>
      <c r="G11" s="28">
        <v>61.0</v>
      </c>
      <c r="H11" s="24">
        <v>6.0</v>
      </c>
      <c r="I11" s="29">
        <v>67.0</v>
      </c>
      <c r="J11" s="30" t="str">
        <f t="shared" si="1"/>
        <v>#REF!</v>
      </c>
      <c r="K11" s="31">
        <f t="shared" si="2"/>
        <v>67000</v>
      </c>
      <c r="L11" s="32">
        <v>0.18</v>
      </c>
      <c r="M11" s="33">
        <f t="shared" si="3"/>
        <v>54940</v>
      </c>
      <c r="N11" s="20">
        <f t="shared" si="4"/>
        <v>804000</v>
      </c>
      <c r="O11" s="21"/>
      <c r="P11" s="21"/>
      <c r="Q11" s="34">
        <f t="shared" si="5"/>
        <v>4</v>
      </c>
      <c r="R11" s="13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24">
        <v>11.0</v>
      </c>
      <c r="B12" s="25" t="s">
        <v>49</v>
      </c>
      <c r="C12" s="26" t="s">
        <v>50</v>
      </c>
      <c r="D12" s="27" t="s">
        <v>51</v>
      </c>
      <c r="E12" s="26" t="s">
        <v>52</v>
      </c>
      <c r="F12" s="27">
        <v>18.0</v>
      </c>
      <c r="G12" s="28">
        <v>55.0</v>
      </c>
      <c r="H12" s="24">
        <v>6.0</v>
      </c>
      <c r="I12" s="29">
        <v>61.0</v>
      </c>
      <c r="J12" s="30" t="str">
        <f t="shared" si="1"/>
        <v>#REF!</v>
      </c>
      <c r="K12" s="31">
        <f t="shared" si="2"/>
        <v>61000</v>
      </c>
      <c r="L12" s="32">
        <v>0.18</v>
      </c>
      <c r="M12" s="33">
        <f t="shared" si="3"/>
        <v>50020</v>
      </c>
      <c r="N12" s="20">
        <f t="shared" si="4"/>
        <v>1098000</v>
      </c>
      <c r="O12" s="21"/>
      <c r="P12" s="21"/>
      <c r="Q12" s="34">
        <f t="shared" si="5"/>
        <v>4</v>
      </c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24">
        <v>12.0</v>
      </c>
      <c r="B13" s="25" t="s">
        <v>53</v>
      </c>
      <c r="C13" s="26" t="s">
        <v>54</v>
      </c>
      <c r="D13" s="27" t="s">
        <v>51</v>
      </c>
      <c r="E13" s="26" t="s">
        <v>55</v>
      </c>
      <c r="F13" s="27">
        <v>18.0</v>
      </c>
      <c r="G13" s="28">
        <v>73.0</v>
      </c>
      <c r="H13" s="24">
        <v>7.0</v>
      </c>
      <c r="I13" s="29">
        <v>80.0</v>
      </c>
      <c r="J13" s="30" t="str">
        <f t="shared" si="1"/>
        <v>#REF!</v>
      </c>
      <c r="K13" s="31">
        <f t="shared" si="2"/>
        <v>80000</v>
      </c>
      <c r="L13" s="32">
        <v>0.18</v>
      </c>
      <c r="M13" s="33">
        <f t="shared" si="3"/>
        <v>65600</v>
      </c>
      <c r="N13" s="20">
        <f t="shared" si="4"/>
        <v>1440000</v>
      </c>
      <c r="O13" s="21"/>
      <c r="P13" s="21"/>
      <c r="Q13" s="34">
        <f t="shared" si="5"/>
        <v>5</v>
      </c>
      <c r="R13" s="13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24">
        <v>13.0</v>
      </c>
      <c r="B14" s="25" t="s">
        <v>56</v>
      </c>
      <c r="C14" s="26" t="s">
        <v>57</v>
      </c>
      <c r="D14" s="27" t="s">
        <v>40</v>
      </c>
      <c r="E14" s="26" t="s">
        <v>52</v>
      </c>
      <c r="F14" s="27">
        <v>12.0</v>
      </c>
      <c r="G14" s="28">
        <v>73.0</v>
      </c>
      <c r="H14" s="24">
        <v>7.0</v>
      </c>
      <c r="I14" s="29">
        <v>80.0</v>
      </c>
      <c r="J14" s="30" t="str">
        <f t="shared" si="1"/>
        <v>#REF!</v>
      </c>
      <c r="K14" s="31">
        <f t="shared" si="2"/>
        <v>80000</v>
      </c>
      <c r="L14" s="32">
        <v>0.18</v>
      </c>
      <c r="M14" s="33">
        <f t="shared" si="3"/>
        <v>65600</v>
      </c>
      <c r="N14" s="20">
        <f t="shared" si="4"/>
        <v>960000</v>
      </c>
      <c r="O14" s="21"/>
      <c r="P14" s="21"/>
      <c r="Q14" s="34">
        <f t="shared" si="5"/>
        <v>5</v>
      </c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24">
        <v>14.0</v>
      </c>
      <c r="B15" s="25" t="s">
        <v>58</v>
      </c>
      <c r="C15" s="26" t="s">
        <v>59</v>
      </c>
      <c r="D15" s="27" t="s">
        <v>60</v>
      </c>
      <c r="E15" s="26" t="s">
        <v>61</v>
      </c>
      <c r="F15" s="27">
        <v>12.0</v>
      </c>
      <c r="G15" s="28">
        <v>73.0</v>
      </c>
      <c r="H15" s="24">
        <v>7.0</v>
      </c>
      <c r="I15" s="29">
        <v>80.0</v>
      </c>
      <c r="J15" s="30" t="str">
        <f t="shared" si="1"/>
        <v>#REF!</v>
      </c>
      <c r="K15" s="31">
        <f t="shared" si="2"/>
        <v>80000</v>
      </c>
      <c r="L15" s="32">
        <v>0.18</v>
      </c>
      <c r="M15" s="33">
        <f t="shared" si="3"/>
        <v>65600</v>
      </c>
      <c r="N15" s="20">
        <f t="shared" si="4"/>
        <v>960000</v>
      </c>
      <c r="O15" s="21"/>
      <c r="P15" s="21"/>
      <c r="Q15" s="34">
        <f t="shared" si="5"/>
        <v>5</v>
      </c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24">
        <v>15.0</v>
      </c>
      <c r="B16" s="25" t="s">
        <v>62</v>
      </c>
      <c r="C16" s="26" t="s">
        <v>63</v>
      </c>
      <c r="D16" s="27" t="s">
        <v>64</v>
      </c>
      <c r="E16" s="26" t="s">
        <v>65</v>
      </c>
      <c r="F16" s="27">
        <v>10.0</v>
      </c>
      <c r="G16" s="28">
        <v>93.0</v>
      </c>
      <c r="H16" s="24">
        <v>9.0</v>
      </c>
      <c r="I16" s="29">
        <v>102.0</v>
      </c>
      <c r="J16" s="30" t="str">
        <f t="shared" si="1"/>
        <v>#REF!</v>
      </c>
      <c r="K16" s="31">
        <f t="shared" si="2"/>
        <v>102000</v>
      </c>
      <c r="L16" s="32">
        <v>0.18</v>
      </c>
      <c r="M16" s="33">
        <f t="shared" si="3"/>
        <v>83640</v>
      </c>
      <c r="N16" s="20">
        <f t="shared" si="4"/>
        <v>1020000</v>
      </c>
      <c r="O16" s="21"/>
      <c r="P16" s="21"/>
      <c r="Q16" s="34">
        <f t="shared" si="5"/>
        <v>6</v>
      </c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24">
        <v>16.0</v>
      </c>
      <c r="B17" s="25" t="s">
        <v>66</v>
      </c>
      <c r="C17" s="26" t="s">
        <v>67</v>
      </c>
      <c r="D17" s="27" t="s">
        <v>64</v>
      </c>
      <c r="E17" s="26" t="s">
        <v>68</v>
      </c>
      <c r="F17" s="27">
        <v>10.0</v>
      </c>
      <c r="G17" s="28">
        <v>94.0</v>
      </c>
      <c r="H17" s="24">
        <v>9.0</v>
      </c>
      <c r="I17" s="29">
        <v>103.0</v>
      </c>
      <c r="J17" s="30" t="str">
        <f t="shared" si="1"/>
        <v>#REF!</v>
      </c>
      <c r="K17" s="31">
        <f t="shared" si="2"/>
        <v>103000</v>
      </c>
      <c r="L17" s="32">
        <v>0.18</v>
      </c>
      <c r="M17" s="33">
        <f t="shared" si="3"/>
        <v>84460</v>
      </c>
      <c r="N17" s="20">
        <f t="shared" si="4"/>
        <v>1030000</v>
      </c>
      <c r="O17" s="21"/>
      <c r="P17" s="21"/>
      <c r="Q17" s="34">
        <f t="shared" si="5"/>
        <v>6</v>
      </c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24">
        <v>17.0</v>
      </c>
      <c r="B18" s="25" t="s">
        <v>69</v>
      </c>
      <c r="C18" s="26" t="s">
        <v>70</v>
      </c>
      <c r="D18" s="27" t="s">
        <v>71</v>
      </c>
      <c r="E18" s="26" t="s">
        <v>72</v>
      </c>
      <c r="F18" s="27">
        <v>10.0</v>
      </c>
      <c r="G18" s="28">
        <v>90.0</v>
      </c>
      <c r="H18" s="24">
        <v>9.0</v>
      </c>
      <c r="I18" s="29">
        <v>99.0</v>
      </c>
      <c r="J18" s="30" t="str">
        <f t="shared" si="1"/>
        <v>#REF!</v>
      </c>
      <c r="K18" s="31">
        <f t="shared" si="2"/>
        <v>99000</v>
      </c>
      <c r="L18" s="32">
        <v>0.18</v>
      </c>
      <c r="M18" s="33">
        <f t="shared" si="3"/>
        <v>81180</v>
      </c>
      <c r="N18" s="20">
        <f t="shared" si="4"/>
        <v>990000</v>
      </c>
      <c r="O18" s="21"/>
      <c r="P18" s="21"/>
      <c r="Q18" s="34">
        <f t="shared" si="5"/>
        <v>6</v>
      </c>
      <c r="R18" s="13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24">
        <v>18.0</v>
      </c>
      <c r="B19" s="25" t="s">
        <v>73</v>
      </c>
      <c r="C19" s="26" t="s">
        <v>74</v>
      </c>
      <c r="D19" s="27" t="s">
        <v>75</v>
      </c>
      <c r="E19" s="26" t="s">
        <v>76</v>
      </c>
      <c r="F19" s="27">
        <v>12.0</v>
      </c>
      <c r="G19" s="28">
        <v>100.0</v>
      </c>
      <c r="H19" s="24">
        <v>10.0</v>
      </c>
      <c r="I19" s="29">
        <v>110.0</v>
      </c>
      <c r="J19" s="30" t="str">
        <f t="shared" si="1"/>
        <v>#REF!</v>
      </c>
      <c r="K19" s="31">
        <f t="shared" si="2"/>
        <v>110000</v>
      </c>
      <c r="L19" s="32">
        <v>0.18</v>
      </c>
      <c r="M19" s="33">
        <f t="shared" si="3"/>
        <v>90200</v>
      </c>
      <c r="N19" s="20">
        <f t="shared" si="4"/>
        <v>1320000</v>
      </c>
      <c r="O19" s="21"/>
      <c r="P19" s="21"/>
      <c r="Q19" s="34">
        <f t="shared" si="5"/>
        <v>7</v>
      </c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24">
        <v>19.0</v>
      </c>
      <c r="B20" s="25" t="s">
        <v>77</v>
      </c>
      <c r="C20" s="26" t="s">
        <v>78</v>
      </c>
      <c r="D20" s="27" t="s">
        <v>24</v>
      </c>
      <c r="E20" s="26" t="s">
        <v>76</v>
      </c>
      <c r="F20" s="27">
        <v>12.0</v>
      </c>
      <c r="G20" s="28">
        <v>105.0</v>
      </c>
      <c r="H20" s="24">
        <v>11.0</v>
      </c>
      <c r="I20" s="29">
        <v>116.0</v>
      </c>
      <c r="J20" s="30" t="str">
        <f t="shared" si="1"/>
        <v>#REF!</v>
      </c>
      <c r="K20" s="31">
        <f t="shared" si="2"/>
        <v>116000</v>
      </c>
      <c r="L20" s="32">
        <v>0.18</v>
      </c>
      <c r="M20" s="33">
        <f t="shared" si="3"/>
        <v>95120</v>
      </c>
      <c r="N20" s="20">
        <f t="shared" si="4"/>
        <v>1392000</v>
      </c>
      <c r="O20" s="21"/>
      <c r="P20" s="21"/>
      <c r="Q20" s="34">
        <f t="shared" si="5"/>
        <v>7</v>
      </c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24">
        <v>20.0</v>
      </c>
      <c r="B21" s="25" t="s">
        <v>79</v>
      </c>
      <c r="C21" s="26" t="s">
        <v>80</v>
      </c>
      <c r="D21" s="27" t="s">
        <v>24</v>
      </c>
      <c r="E21" s="26" t="s">
        <v>76</v>
      </c>
      <c r="F21" s="27">
        <v>10.0</v>
      </c>
      <c r="G21" s="28">
        <v>110.0</v>
      </c>
      <c r="H21" s="24">
        <v>11.0</v>
      </c>
      <c r="I21" s="29">
        <v>121.0</v>
      </c>
      <c r="J21" s="30" t="str">
        <f t="shared" si="1"/>
        <v>#REF!</v>
      </c>
      <c r="K21" s="31">
        <f t="shared" si="2"/>
        <v>121000</v>
      </c>
      <c r="L21" s="32">
        <v>0.18</v>
      </c>
      <c r="M21" s="33">
        <f t="shared" si="3"/>
        <v>99220</v>
      </c>
      <c r="N21" s="20">
        <f t="shared" si="4"/>
        <v>1210000</v>
      </c>
      <c r="O21" s="21"/>
      <c r="P21" s="21"/>
      <c r="Q21" s="34">
        <f t="shared" si="5"/>
        <v>7</v>
      </c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24">
        <v>21.0</v>
      </c>
      <c r="B22" s="25" t="s">
        <v>81</v>
      </c>
      <c r="C22" s="26" t="s">
        <v>82</v>
      </c>
      <c r="D22" s="27" t="s">
        <v>71</v>
      </c>
      <c r="E22" s="26" t="s">
        <v>65</v>
      </c>
      <c r="F22" s="27">
        <v>10.0</v>
      </c>
      <c r="G22" s="28">
        <v>103.0</v>
      </c>
      <c r="H22" s="24">
        <v>10.0</v>
      </c>
      <c r="I22" s="29">
        <v>113.0</v>
      </c>
      <c r="J22" s="30" t="str">
        <f t="shared" si="1"/>
        <v>#REF!</v>
      </c>
      <c r="K22" s="31">
        <f t="shared" si="2"/>
        <v>113000</v>
      </c>
      <c r="L22" s="32">
        <v>0.18</v>
      </c>
      <c r="M22" s="33">
        <f t="shared" si="3"/>
        <v>92660</v>
      </c>
      <c r="N22" s="20">
        <f t="shared" si="4"/>
        <v>1130000</v>
      </c>
      <c r="O22" s="21"/>
      <c r="P22" s="21"/>
      <c r="Q22" s="34">
        <f t="shared" si="5"/>
        <v>7</v>
      </c>
      <c r="R22" s="13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24">
        <v>22.0</v>
      </c>
      <c r="B23" s="25" t="s">
        <v>83</v>
      </c>
      <c r="C23" s="26" t="s">
        <v>82</v>
      </c>
      <c r="D23" s="27" t="s">
        <v>84</v>
      </c>
      <c r="E23" s="26" t="s">
        <v>85</v>
      </c>
      <c r="F23" s="27">
        <v>10.0</v>
      </c>
      <c r="G23" s="28">
        <v>104.0</v>
      </c>
      <c r="H23" s="24">
        <v>10.0</v>
      </c>
      <c r="I23" s="29">
        <v>114.0</v>
      </c>
      <c r="J23" s="30" t="str">
        <f t="shared" si="1"/>
        <v>#REF!</v>
      </c>
      <c r="K23" s="31">
        <f t="shared" si="2"/>
        <v>114000</v>
      </c>
      <c r="L23" s="32">
        <v>0.18</v>
      </c>
      <c r="M23" s="33">
        <f t="shared" si="3"/>
        <v>93480</v>
      </c>
      <c r="N23" s="20">
        <f t="shared" si="4"/>
        <v>1140000</v>
      </c>
      <c r="O23" s="21"/>
      <c r="P23" s="21"/>
      <c r="Q23" s="34">
        <f t="shared" si="5"/>
        <v>7</v>
      </c>
      <c r="R23" s="13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24">
        <v>23.0</v>
      </c>
      <c r="B24" s="25" t="s">
        <v>86</v>
      </c>
      <c r="C24" s="26" t="s">
        <v>87</v>
      </c>
      <c r="D24" s="27" t="s">
        <v>71</v>
      </c>
      <c r="E24" s="26" t="s">
        <v>88</v>
      </c>
      <c r="F24" s="27">
        <v>10.0</v>
      </c>
      <c r="G24" s="28">
        <v>103.0</v>
      </c>
      <c r="H24" s="24">
        <v>10.0</v>
      </c>
      <c r="I24" s="29">
        <v>113.0</v>
      </c>
      <c r="J24" s="30" t="str">
        <f t="shared" si="1"/>
        <v>#REF!</v>
      </c>
      <c r="K24" s="31">
        <f t="shared" si="2"/>
        <v>113000</v>
      </c>
      <c r="L24" s="32">
        <v>0.18</v>
      </c>
      <c r="M24" s="33">
        <f t="shared" si="3"/>
        <v>92660</v>
      </c>
      <c r="N24" s="20">
        <f t="shared" si="4"/>
        <v>1130000</v>
      </c>
      <c r="O24" s="21"/>
      <c r="P24" s="21"/>
      <c r="Q24" s="34">
        <f t="shared" si="5"/>
        <v>7</v>
      </c>
      <c r="R24" s="13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24">
        <v>24.0</v>
      </c>
      <c r="B25" s="25" t="s">
        <v>89</v>
      </c>
      <c r="C25" s="26" t="s">
        <v>90</v>
      </c>
      <c r="D25" s="27" t="s">
        <v>64</v>
      </c>
      <c r="E25" s="26" t="s">
        <v>65</v>
      </c>
      <c r="F25" s="27">
        <v>10.0</v>
      </c>
      <c r="G25" s="28">
        <v>115.0</v>
      </c>
      <c r="H25" s="24">
        <v>12.0</v>
      </c>
      <c r="I25" s="29">
        <v>127.0</v>
      </c>
      <c r="J25" s="30" t="str">
        <f t="shared" si="1"/>
        <v>#REF!</v>
      </c>
      <c r="K25" s="31">
        <f t="shared" si="2"/>
        <v>127000</v>
      </c>
      <c r="L25" s="32">
        <v>0.18</v>
      </c>
      <c r="M25" s="33">
        <f t="shared" si="3"/>
        <v>104140</v>
      </c>
      <c r="N25" s="20">
        <f t="shared" si="4"/>
        <v>1270000</v>
      </c>
      <c r="O25" s="21"/>
      <c r="P25" s="21"/>
      <c r="Q25" s="34">
        <f t="shared" si="5"/>
        <v>8</v>
      </c>
      <c r="R25" s="13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24">
        <v>25.0</v>
      </c>
      <c r="B26" s="25" t="s">
        <v>91</v>
      </c>
      <c r="C26" s="26" t="s">
        <v>92</v>
      </c>
      <c r="D26" s="27" t="s">
        <v>64</v>
      </c>
      <c r="E26" s="26" t="s">
        <v>93</v>
      </c>
      <c r="F26" s="27">
        <v>10.0</v>
      </c>
      <c r="G26" s="28">
        <v>120.0</v>
      </c>
      <c r="H26" s="24">
        <v>12.0</v>
      </c>
      <c r="I26" s="29">
        <v>132.0</v>
      </c>
      <c r="J26" s="30" t="str">
        <f t="shared" si="1"/>
        <v>#REF!</v>
      </c>
      <c r="K26" s="31">
        <f t="shared" si="2"/>
        <v>132000</v>
      </c>
      <c r="L26" s="32">
        <v>0.18</v>
      </c>
      <c r="M26" s="33">
        <f t="shared" si="3"/>
        <v>108240</v>
      </c>
      <c r="N26" s="20">
        <f t="shared" si="4"/>
        <v>1320000</v>
      </c>
      <c r="O26" s="21"/>
      <c r="P26" s="21"/>
      <c r="Q26" s="34">
        <f t="shared" si="5"/>
        <v>8</v>
      </c>
      <c r="R26" s="13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24">
        <v>26.0</v>
      </c>
      <c r="B27" s="25" t="s">
        <v>94</v>
      </c>
      <c r="C27" s="26" t="s">
        <v>95</v>
      </c>
      <c r="D27" s="27" t="s">
        <v>71</v>
      </c>
      <c r="E27" s="26" t="s">
        <v>93</v>
      </c>
      <c r="F27" s="27">
        <v>10.0</v>
      </c>
      <c r="G27" s="28">
        <v>122.0</v>
      </c>
      <c r="H27" s="24">
        <v>12.0</v>
      </c>
      <c r="I27" s="29">
        <v>134.0</v>
      </c>
      <c r="J27" s="30" t="str">
        <f t="shared" si="1"/>
        <v>#REF!</v>
      </c>
      <c r="K27" s="31">
        <f t="shared" si="2"/>
        <v>134000</v>
      </c>
      <c r="L27" s="32">
        <v>0.18</v>
      </c>
      <c r="M27" s="33">
        <f t="shared" si="3"/>
        <v>109880</v>
      </c>
      <c r="N27" s="20">
        <f t="shared" si="4"/>
        <v>1340000</v>
      </c>
      <c r="O27" s="21"/>
      <c r="P27" s="21"/>
      <c r="Q27" s="34">
        <f t="shared" si="5"/>
        <v>8</v>
      </c>
      <c r="R27" s="13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24">
        <v>27.0</v>
      </c>
      <c r="B28" s="25" t="s">
        <v>96</v>
      </c>
      <c r="C28" s="26" t="s">
        <v>97</v>
      </c>
      <c r="D28" s="27" t="s">
        <v>31</v>
      </c>
      <c r="E28" s="26" t="s">
        <v>98</v>
      </c>
      <c r="F28" s="27">
        <v>10.0</v>
      </c>
      <c r="G28" s="28">
        <v>125.0</v>
      </c>
      <c r="H28" s="24">
        <v>13.0</v>
      </c>
      <c r="I28" s="29">
        <v>138.0</v>
      </c>
      <c r="J28" s="30" t="str">
        <f t="shared" si="1"/>
        <v>#REF!</v>
      </c>
      <c r="K28" s="31">
        <f t="shared" si="2"/>
        <v>138000</v>
      </c>
      <c r="L28" s="32">
        <v>0.18</v>
      </c>
      <c r="M28" s="33">
        <f t="shared" si="3"/>
        <v>113160</v>
      </c>
      <c r="N28" s="20">
        <f t="shared" si="4"/>
        <v>1380000</v>
      </c>
      <c r="O28" s="21"/>
      <c r="P28" s="21"/>
      <c r="Q28" s="34">
        <f t="shared" si="5"/>
        <v>8</v>
      </c>
      <c r="R28" s="13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24">
        <v>28.0</v>
      </c>
      <c r="B29" s="25" t="s">
        <v>99</v>
      </c>
      <c r="C29" s="26" t="s">
        <v>100</v>
      </c>
      <c r="D29" s="27" t="s">
        <v>31</v>
      </c>
      <c r="E29" s="26" t="s">
        <v>101</v>
      </c>
      <c r="F29" s="27">
        <v>6.0</v>
      </c>
      <c r="G29" s="28">
        <v>140.0</v>
      </c>
      <c r="H29" s="24">
        <v>14.0</v>
      </c>
      <c r="I29" s="29">
        <v>154.0</v>
      </c>
      <c r="J29" s="30" t="str">
        <f t="shared" si="1"/>
        <v>#REF!</v>
      </c>
      <c r="K29" s="31">
        <f t="shared" si="2"/>
        <v>154000</v>
      </c>
      <c r="L29" s="32">
        <v>0.18</v>
      </c>
      <c r="M29" s="33">
        <f t="shared" si="3"/>
        <v>126280</v>
      </c>
      <c r="N29" s="20">
        <f t="shared" si="4"/>
        <v>924000</v>
      </c>
      <c r="O29" s="21"/>
      <c r="P29" s="21"/>
      <c r="Q29" s="34">
        <f t="shared" si="5"/>
        <v>9</v>
      </c>
      <c r="R29" s="13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24">
        <v>1.0</v>
      </c>
      <c r="B30" s="25" t="s">
        <v>105</v>
      </c>
      <c r="C30" s="26" t="s">
        <v>106</v>
      </c>
      <c r="D30" s="27" t="s">
        <v>31</v>
      </c>
      <c r="E30" s="26" t="s">
        <v>107</v>
      </c>
      <c r="F30" s="27">
        <v>6.0</v>
      </c>
      <c r="G30" s="28">
        <v>220.0</v>
      </c>
      <c r="H30" s="24">
        <v>22.0</v>
      </c>
      <c r="I30" s="29">
        <v>242.0</v>
      </c>
      <c r="J30" s="30" t="str">
        <f t="shared" si="1"/>
        <v>#REF!</v>
      </c>
      <c r="K30" s="31">
        <f t="shared" si="2"/>
        <v>242000</v>
      </c>
      <c r="L30" s="32">
        <v>0.3</v>
      </c>
      <c r="M30" s="33">
        <f t="shared" si="3"/>
        <v>169400</v>
      </c>
      <c r="N30" s="20">
        <f t="shared" si="4"/>
        <v>1452000</v>
      </c>
      <c r="O30" s="21"/>
      <c r="P30" s="21"/>
      <c r="Q30" s="34">
        <f t="shared" si="5"/>
        <v>14</v>
      </c>
      <c r="R30" s="35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24">
        <v>2.0</v>
      </c>
      <c r="B31" s="25" t="s">
        <v>108</v>
      </c>
      <c r="C31" s="26" t="s">
        <v>109</v>
      </c>
      <c r="D31" s="27" t="s">
        <v>31</v>
      </c>
      <c r="E31" s="26" t="s">
        <v>107</v>
      </c>
      <c r="F31" s="27">
        <v>6.0</v>
      </c>
      <c r="G31" s="28">
        <v>230.0</v>
      </c>
      <c r="H31" s="24">
        <v>23.0</v>
      </c>
      <c r="I31" s="29">
        <v>253.0</v>
      </c>
      <c r="J31" s="30" t="str">
        <f t="shared" si="1"/>
        <v>#REF!</v>
      </c>
      <c r="K31" s="31">
        <f t="shared" si="2"/>
        <v>253000</v>
      </c>
      <c r="L31" s="32">
        <v>0.3</v>
      </c>
      <c r="M31" s="33">
        <f t="shared" si="3"/>
        <v>177100</v>
      </c>
      <c r="N31" s="20">
        <f t="shared" si="4"/>
        <v>1518000</v>
      </c>
      <c r="O31" s="21"/>
      <c r="P31" s="21"/>
      <c r="Q31" s="34">
        <f t="shared" si="5"/>
        <v>15</v>
      </c>
      <c r="R31" s="35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24">
        <v>3.0</v>
      </c>
      <c r="B32" s="25" t="s">
        <v>110</v>
      </c>
      <c r="C32" s="26" t="s">
        <v>111</v>
      </c>
      <c r="D32" s="27" t="s">
        <v>31</v>
      </c>
      <c r="E32" s="26" t="s">
        <v>112</v>
      </c>
      <c r="F32" s="27">
        <v>6.0</v>
      </c>
      <c r="G32" s="28">
        <v>250.0</v>
      </c>
      <c r="H32" s="24">
        <v>25.0</v>
      </c>
      <c r="I32" s="29">
        <v>275.0</v>
      </c>
      <c r="J32" s="30" t="str">
        <f t="shared" si="1"/>
        <v>#REF!</v>
      </c>
      <c r="K32" s="31">
        <f t="shared" si="2"/>
        <v>275000</v>
      </c>
      <c r="L32" s="32">
        <v>0.3</v>
      </c>
      <c r="M32" s="33">
        <f t="shared" si="3"/>
        <v>192500</v>
      </c>
      <c r="N32" s="20">
        <f t="shared" si="4"/>
        <v>1650000</v>
      </c>
      <c r="O32" s="21"/>
      <c r="P32" s="21"/>
      <c r="Q32" s="34">
        <f t="shared" si="5"/>
        <v>16</v>
      </c>
      <c r="R32" s="35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24">
        <v>4.0</v>
      </c>
      <c r="B33" s="25" t="s">
        <v>113</v>
      </c>
      <c r="C33" s="26" t="s">
        <v>114</v>
      </c>
      <c r="D33" s="27" t="s">
        <v>31</v>
      </c>
      <c r="E33" s="26" t="s">
        <v>115</v>
      </c>
      <c r="F33" s="27">
        <v>6.0</v>
      </c>
      <c r="G33" s="28">
        <v>250.0</v>
      </c>
      <c r="H33" s="24">
        <v>25.0</v>
      </c>
      <c r="I33" s="29">
        <v>275.0</v>
      </c>
      <c r="J33" s="30" t="str">
        <f t="shared" si="1"/>
        <v>#REF!</v>
      </c>
      <c r="K33" s="31">
        <f t="shared" si="2"/>
        <v>275000</v>
      </c>
      <c r="L33" s="32">
        <v>0.3</v>
      </c>
      <c r="M33" s="33">
        <f t="shared" si="3"/>
        <v>192500</v>
      </c>
      <c r="N33" s="20">
        <f t="shared" si="4"/>
        <v>1650000</v>
      </c>
      <c r="O33" s="21"/>
      <c r="P33" s="21"/>
      <c r="Q33" s="34">
        <f t="shared" si="5"/>
        <v>16</v>
      </c>
      <c r="R33" s="35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24">
        <v>5.0</v>
      </c>
      <c r="B34" s="25" t="s">
        <v>116</v>
      </c>
      <c r="C34" s="26" t="s">
        <v>111</v>
      </c>
      <c r="D34" s="27" t="s">
        <v>117</v>
      </c>
      <c r="E34" s="26" t="s">
        <v>112</v>
      </c>
      <c r="F34" s="27">
        <v>5.0</v>
      </c>
      <c r="G34" s="28">
        <v>255.0</v>
      </c>
      <c r="H34" s="24">
        <v>26.0</v>
      </c>
      <c r="I34" s="29">
        <v>281.0</v>
      </c>
      <c r="J34" s="30" t="str">
        <f t="shared" si="1"/>
        <v>#REF!</v>
      </c>
      <c r="K34" s="59" t="s">
        <v>339</v>
      </c>
      <c r="L34" s="32">
        <v>0.3</v>
      </c>
      <c r="M34" s="33" t="str">
        <f t="shared" si="3"/>
        <v>#VALUE!</v>
      </c>
      <c r="N34" s="20" t="str">
        <f t="shared" si="4"/>
        <v>#VALUE!</v>
      </c>
      <c r="O34" s="21"/>
      <c r="P34" s="21"/>
      <c r="Q34" s="34" t="str">
        <f t="shared" si="5"/>
        <v>#VALUE!</v>
      </c>
      <c r="R34" s="35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24">
        <v>6.0</v>
      </c>
      <c r="B35" s="25" t="s">
        <v>118</v>
      </c>
      <c r="C35" s="26" t="s">
        <v>119</v>
      </c>
      <c r="D35" s="27" t="s">
        <v>31</v>
      </c>
      <c r="E35" s="26" t="s">
        <v>120</v>
      </c>
      <c r="F35" s="27">
        <v>6.0</v>
      </c>
      <c r="G35" s="28">
        <v>270.0</v>
      </c>
      <c r="H35" s="24">
        <v>27.0</v>
      </c>
      <c r="I35" s="29">
        <v>297.0</v>
      </c>
      <c r="J35" s="30" t="str">
        <f t="shared" si="1"/>
        <v>#REF!</v>
      </c>
      <c r="K35" s="31">
        <f t="shared" ref="K35:K77" si="6">I35*$S$1</f>
        <v>297000</v>
      </c>
      <c r="L35" s="32">
        <v>0.3</v>
      </c>
      <c r="M35" s="33">
        <f t="shared" si="3"/>
        <v>207900</v>
      </c>
      <c r="N35" s="20">
        <f t="shared" si="4"/>
        <v>1782000</v>
      </c>
      <c r="O35" s="21"/>
      <c r="P35" s="21"/>
      <c r="Q35" s="34">
        <f t="shared" si="5"/>
        <v>17</v>
      </c>
      <c r="R35" s="35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24">
        <v>7.0</v>
      </c>
      <c r="B36" s="25" t="s">
        <v>121</v>
      </c>
      <c r="C36" s="26" t="s">
        <v>122</v>
      </c>
      <c r="D36" s="27" t="s">
        <v>31</v>
      </c>
      <c r="E36" s="26" t="s">
        <v>120</v>
      </c>
      <c r="F36" s="27">
        <v>6.0</v>
      </c>
      <c r="G36" s="28">
        <v>270.0</v>
      </c>
      <c r="H36" s="24">
        <v>27.0</v>
      </c>
      <c r="I36" s="29">
        <v>297.0</v>
      </c>
      <c r="J36" s="30" t="str">
        <f t="shared" si="1"/>
        <v>#REF!</v>
      </c>
      <c r="K36" s="31">
        <f t="shared" si="6"/>
        <v>297000</v>
      </c>
      <c r="L36" s="32">
        <v>0.3</v>
      </c>
      <c r="M36" s="33">
        <f t="shared" si="3"/>
        <v>207900</v>
      </c>
      <c r="N36" s="20">
        <f t="shared" si="4"/>
        <v>1782000</v>
      </c>
      <c r="O36" s="21"/>
      <c r="P36" s="21"/>
      <c r="Q36" s="34">
        <f t="shared" si="5"/>
        <v>17</v>
      </c>
      <c r="R36" s="35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24">
        <v>1.0</v>
      </c>
      <c r="B37" s="25" t="s">
        <v>124</v>
      </c>
      <c r="C37" s="26" t="s">
        <v>125</v>
      </c>
      <c r="D37" s="27" t="s">
        <v>44</v>
      </c>
      <c r="E37" s="26" t="s">
        <v>37</v>
      </c>
      <c r="F37" s="27">
        <v>12.0</v>
      </c>
      <c r="G37" s="28">
        <v>56.0</v>
      </c>
      <c r="H37" s="24">
        <v>6.0</v>
      </c>
      <c r="I37" s="29">
        <v>62.0</v>
      </c>
      <c r="J37" s="30" t="str">
        <f t="shared" si="1"/>
        <v>#REF!</v>
      </c>
      <c r="K37" s="31">
        <f t="shared" si="6"/>
        <v>62000</v>
      </c>
      <c r="L37" s="32">
        <v>0.18</v>
      </c>
      <c r="M37" s="33">
        <f t="shared" si="3"/>
        <v>50840</v>
      </c>
      <c r="N37" s="20">
        <f t="shared" si="4"/>
        <v>744000</v>
      </c>
      <c r="O37" s="21"/>
      <c r="P37" s="21"/>
      <c r="Q37" s="34">
        <f t="shared" si="5"/>
        <v>4</v>
      </c>
      <c r="R37" s="35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24">
        <v>2.0</v>
      </c>
      <c r="B38" s="25" t="s">
        <v>126</v>
      </c>
      <c r="C38" s="26" t="s">
        <v>127</v>
      </c>
      <c r="D38" s="27" t="s">
        <v>44</v>
      </c>
      <c r="E38" s="26" t="s">
        <v>45</v>
      </c>
      <c r="F38" s="27">
        <v>10.0</v>
      </c>
      <c r="G38" s="28">
        <v>65.0</v>
      </c>
      <c r="H38" s="24">
        <v>7.0</v>
      </c>
      <c r="I38" s="29">
        <v>72.0</v>
      </c>
      <c r="J38" s="30" t="str">
        <f t="shared" si="1"/>
        <v>#REF!</v>
      </c>
      <c r="K38" s="31">
        <f t="shared" si="6"/>
        <v>72000</v>
      </c>
      <c r="L38" s="32">
        <v>0.18</v>
      </c>
      <c r="M38" s="33" t="str">
        <f t="shared" ref="M38:M51" si="7">K38-(K38*#REF!)</f>
        <v>#REF!</v>
      </c>
      <c r="N38" s="20">
        <f t="shared" si="4"/>
        <v>720000</v>
      </c>
      <c r="O38" s="21"/>
      <c r="P38" s="21"/>
      <c r="Q38" s="34">
        <f t="shared" si="5"/>
        <v>5</v>
      </c>
      <c r="R38" s="35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24">
        <v>3.0</v>
      </c>
      <c r="B39" s="25" t="s">
        <v>128</v>
      </c>
      <c r="C39" s="26" t="s">
        <v>129</v>
      </c>
      <c r="D39" s="27" t="s">
        <v>130</v>
      </c>
      <c r="E39" s="26" t="s">
        <v>131</v>
      </c>
      <c r="F39" s="27">
        <v>10.0</v>
      </c>
      <c r="G39" s="28">
        <v>84.0</v>
      </c>
      <c r="H39" s="24">
        <v>8.0</v>
      </c>
      <c r="I39" s="29">
        <v>92.0</v>
      </c>
      <c r="J39" s="30" t="str">
        <f t="shared" si="1"/>
        <v>#REF!</v>
      </c>
      <c r="K39" s="31">
        <f t="shared" si="6"/>
        <v>92000</v>
      </c>
      <c r="L39" s="32">
        <v>0.18</v>
      </c>
      <c r="M39" s="33" t="str">
        <f t="shared" si="7"/>
        <v>#REF!</v>
      </c>
      <c r="N39" s="20">
        <f t="shared" si="4"/>
        <v>920000</v>
      </c>
      <c r="O39" s="21"/>
      <c r="P39" s="21"/>
      <c r="Q39" s="34">
        <f t="shared" si="5"/>
        <v>6</v>
      </c>
      <c r="R39" s="35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24">
        <v>4.0</v>
      </c>
      <c r="B40" s="25" t="s">
        <v>132</v>
      </c>
      <c r="C40" s="26" t="s">
        <v>133</v>
      </c>
      <c r="D40" s="27" t="s">
        <v>71</v>
      </c>
      <c r="E40" s="26" t="s">
        <v>134</v>
      </c>
      <c r="F40" s="27">
        <v>10.0</v>
      </c>
      <c r="G40" s="28">
        <v>89.0</v>
      </c>
      <c r="H40" s="24">
        <v>9.0</v>
      </c>
      <c r="I40" s="29">
        <v>98.0</v>
      </c>
      <c r="J40" s="30" t="str">
        <f t="shared" si="1"/>
        <v>#REF!</v>
      </c>
      <c r="K40" s="31">
        <f t="shared" si="6"/>
        <v>98000</v>
      </c>
      <c r="L40" s="32">
        <v>0.18</v>
      </c>
      <c r="M40" s="33" t="str">
        <f t="shared" si="7"/>
        <v>#REF!</v>
      </c>
      <c r="N40" s="20">
        <f t="shared" si="4"/>
        <v>980000</v>
      </c>
      <c r="O40" s="21"/>
      <c r="P40" s="21"/>
      <c r="Q40" s="34">
        <f t="shared" si="5"/>
        <v>6</v>
      </c>
      <c r="R40" s="35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24">
        <v>5.0</v>
      </c>
      <c r="B41" s="25" t="s">
        <v>135</v>
      </c>
      <c r="C41" s="26" t="s">
        <v>136</v>
      </c>
      <c r="D41" s="27" t="s">
        <v>40</v>
      </c>
      <c r="E41" s="26" t="s">
        <v>137</v>
      </c>
      <c r="F41" s="27">
        <v>12.0</v>
      </c>
      <c r="G41" s="28">
        <v>65.0</v>
      </c>
      <c r="H41" s="24">
        <v>7.0</v>
      </c>
      <c r="I41" s="29">
        <v>72.0</v>
      </c>
      <c r="J41" s="30" t="str">
        <f t="shared" si="1"/>
        <v>#REF!</v>
      </c>
      <c r="K41" s="31">
        <f t="shared" si="6"/>
        <v>72000</v>
      </c>
      <c r="L41" s="32">
        <v>0.18</v>
      </c>
      <c r="M41" s="33" t="str">
        <f t="shared" si="7"/>
        <v>#REF!</v>
      </c>
      <c r="N41" s="20">
        <f t="shared" si="4"/>
        <v>864000</v>
      </c>
      <c r="O41" s="21"/>
      <c r="P41" s="21"/>
      <c r="Q41" s="34">
        <f t="shared" si="5"/>
        <v>5</v>
      </c>
      <c r="R41" s="35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24">
        <v>6.0</v>
      </c>
      <c r="B42" s="25" t="s">
        <v>138</v>
      </c>
      <c r="C42" s="26" t="s">
        <v>139</v>
      </c>
      <c r="D42" s="27" t="s">
        <v>40</v>
      </c>
      <c r="E42" s="26" t="s">
        <v>140</v>
      </c>
      <c r="F42" s="27">
        <v>12.0</v>
      </c>
      <c r="G42" s="28">
        <v>60.0</v>
      </c>
      <c r="H42" s="24">
        <v>23.0</v>
      </c>
      <c r="I42" s="29">
        <v>83.0</v>
      </c>
      <c r="J42" s="30" t="str">
        <f t="shared" si="1"/>
        <v>#REF!</v>
      </c>
      <c r="K42" s="31">
        <f t="shared" si="6"/>
        <v>83000</v>
      </c>
      <c r="L42" s="32">
        <v>0.18</v>
      </c>
      <c r="M42" s="33" t="str">
        <f t="shared" si="7"/>
        <v>#REF!</v>
      </c>
      <c r="N42" s="20">
        <f t="shared" si="4"/>
        <v>996000</v>
      </c>
      <c r="O42" s="21"/>
      <c r="P42" s="21"/>
      <c r="Q42" s="34">
        <f t="shared" si="5"/>
        <v>5</v>
      </c>
      <c r="R42" s="35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24">
        <v>7.0</v>
      </c>
      <c r="B43" s="25" t="s">
        <v>141</v>
      </c>
      <c r="C43" s="26" t="s">
        <v>142</v>
      </c>
      <c r="D43" s="27" t="s">
        <v>130</v>
      </c>
      <c r="E43" s="26" t="s">
        <v>143</v>
      </c>
      <c r="F43" s="27">
        <v>12.0</v>
      </c>
      <c r="G43" s="28">
        <v>95.0</v>
      </c>
      <c r="H43" s="24">
        <v>10.0</v>
      </c>
      <c r="I43" s="29">
        <v>105.0</v>
      </c>
      <c r="J43" s="30" t="str">
        <f t="shared" si="1"/>
        <v>#REF!</v>
      </c>
      <c r="K43" s="31">
        <f t="shared" si="6"/>
        <v>105000</v>
      </c>
      <c r="L43" s="32">
        <v>0.18</v>
      </c>
      <c r="M43" s="33" t="str">
        <f t="shared" si="7"/>
        <v>#REF!</v>
      </c>
      <c r="N43" s="20">
        <f t="shared" si="4"/>
        <v>1260000</v>
      </c>
      <c r="O43" s="21"/>
      <c r="P43" s="21"/>
      <c r="Q43" s="34">
        <f t="shared" si="5"/>
        <v>6</v>
      </c>
      <c r="R43" s="35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24">
        <v>8.0</v>
      </c>
      <c r="B44" s="25" t="s">
        <v>144</v>
      </c>
      <c r="C44" s="26" t="s">
        <v>145</v>
      </c>
      <c r="D44" s="27" t="s">
        <v>130</v>
      </c>
      <c r="E44" s="26" t="s">
        <v>146</v>
      </c>
      <c r="F44" s="27">
        <v>10.0</v>
      </c>
      <c r="G44" s="28">
        <v>90.0</v>
      </c>
      <c r="H44" s="24">
        <v>9.0</v>
      </c>
      <c r="I44" s="29">
        <v>99.0</v>
      </c>
      <c r="J44" s="30" t="str">
        <f t="shared" si="1"/>
        <v>#REF!</v>
      </c>
      <c r="K44" s="31">
        <f t="shared" si="6"/>
        <v>99000</v>
      </c>
      <c r="L44" s="32">
        <v>0.18</v>
      </c>
      <c r="M44" s="33" t="str">
        <f t="shared" si="7"/>
        <v>#REF!</v>
      </c>
      <c r="N44" s="20">
        <f t="shared" si="4"/>
        <v>990000</v>
      </c>
      <c r="O44" s="21"/>
      <c r="P44" s="21"/>
      <c r="Q44" s="34">
        <f t="shared" si="5"/>
        <v>6</v>
      </c>
      <c r="R44" s="35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24">
        <v>9.0</v>
      </c>
      <c r="B45" s="25" t="s">
        <v>147</v>
      </c>
      <c r="C45" s="26" t="s">
        <v>148</v>
      </c>
      <c r="D45" s="27" t="s">
        <v>130</v>
      </c>
      <c r="E45" s="26" t="s">
        <v>149</v>
      </c>
      <c r="F45" s="27">
        <v>10.0</v>
      </c>
      <c r="G45" s="28">
        <v>96.0</v>
      </c>
      <c r="H45" s="24">
        <v>10.0</v>
      </c>
      <c r="I45" s="29">
        <v>106.0</v>
      </c>
      <c r="J45" s="30" t="str">
        <f t="shared" si="1"/>
        <v>#REF!</v>
      </c>
      <c r="K45" s="31">
        <f t="shared" si="6"/>
        <v>106000</v>
      </c>
      <c r="L45" s="32">
        <v>0.18</v>
      </c>
      <c r="M45" s="33" t="str">
        <f t="shared" si="7"/>
        <v>#REF!</v>
      </c>
      <c r="N45" s="20">
        <f t="shared" si="4"/>
        <v>1060000</v>
      </c>
      <c r="O45" s="21"/>
      <c r="P45" s="21"/>
      <c r="Q45" s="34">
        <f t="shared" si="5"/>
        <v>7</v>
      </c>
      <c r="R45" s="35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24">
        <v>10.0</v>
      </c>
      <c r="B46" s="25" t="s">
        <v>150</v>
      </c>
      <c r="C46" s="26" t="s">
        <v>151</v>
      </c>
      <c r="D46" s="27" t="s">
        <v>44</v>
      </c>
      <c r="E46" s="26" t="s">
        <v>88</v>
      </c>
      <c r="F46" s="27">
        <v>10.0</v>
      </c>
      <c r="G46" s="28">
        <v>97.0</v>
      </c>
      <c r="H46" s="24">
        <v>10.0</v>
      </c>
      <c r="I46" s="29">
        <v>107.0</v>
      </c>
      <c r="J46" s="30" t="str">
        <f t="shared" si="1"/>
        <v>#REF!</v>
      </c>
      <c r="K46" s="31">
        <f t="shared" si="6"/>
        <v>107000</v>
      </c>
      <c r="L46" s="32">
        <v>0.18</v>
      </c>
      <c r="M46" s="33" t="str">
        <f t="shared" si="7"/>
        <v>#REF!</v>
      </c>
      <c r="N46" s="20">
        <f t="shared" si="4"/>
        <v>1070000</v>
      </c>
      <c r="O46" s="21"/>
      <c r="P46" s="21"/>
      <c r="Q46" s="34">
        <f t="shared" si="5"/>
        <v>7</v>
      </c>
      <c r="R46" s="35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24">
        <v>11.0</v>
      </c>
      <c r="B47" s="25" t="s">
        <v>152</v>
      </c>
      <c r="C47" s="26" t="s">
        <v>153</v>
      </c>
      <c r="D47" s="27" t="s">
        <v>71</v>
      </c>
      <c r="E47" s="26" t="s">
        <v>154</v>
      </c>
      <c r="F47" s="27">
        <v>10.0</v>
      </c>
      <c r="G47" s="28">
        <v>103.0</v>
      </c>
      <c r="H47" s="24">
        <v>10.0</v>
      </c>
      <c r="I47" s="29">
        <v>113.0</v>
      </c>
      <c r="J47" s="30" t="str">
        <f t="shared" si="1"/>
        <v>#REF!</v>
      </c>
      <c r="K47" s="31">
        <f t="shared" si="6"/>
        <v>113000</v>
      </c>
      <c r="L47" s="32">
        <v>0.18</v>
      </c>
      <c r="M47" s="33" t="str">
        <f t="shared" si="7"/>
        <v>#REF!</v>
      </c>
      <c r="N47" s="20">
        <f t="shared" si="4"/>
        <v>1130000</v>
      </c>
      <c r="O47" s="21"/>
      <c r="P47" s="21"/>
      <c r="Q47" s="34">
        <f t="shared" si="5"/>
        <v>7</v>
      </c>
      <c r="R47" s="35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24">
        <v>12.0</v>
      </c>
      <c r="B48" s="25" t="s">
        <v>155</v>
      </c>
      <c r="C48" s="26" t="s">
        <v>156</v>
      </c>
      <c r="D48" s="27" t="s">
        <v>157</v>
      </c>
      <c r="E48" s="26" t="s">
        <v>158</v>
      </c>
      <c r="F48" s="27">
        <v>10.0</v>
      </c>
      <c r="G48" s="28">
        <v>120.0</v>
      </c>
      <c r="H48" s="24">
        <v>12.0</v>
      </c>
      <c r="I48" s="29">
        <v>132.0</v>
      </c>
      <c r="J48" s="30" t="str">
        <f t="shared" si="1"/>
        <v>#REF!</v>
      </c>
      <c r="K48" s="31">
        <f t="shared" si="6"/>
        <v>132000</v>
      </c>
      <c r="L48" s="32">
        <v>0.18</v>
      </c>
      <c r="M48" s="33" t="str">
        <f t="shared" si="7"/>
        <v>#REF!</v>
      </c>
      <c r="N48" s="20">
        <f t="shared" si="4"/>
        <v>1320000</v>
      </c>
      <c r="O48" s="21"/>
      <c r="P48" s="21"/>
      <c r="Q48" s="34">
        <f t="shared" si="5"/>
        <v>8</v>
      </c>
      <c r="R48" s="35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24">
        <v>13.0</v>
      </c>
      <c r="B49" s="25" t="s">
        <v>159</v>
      </c>
      <c r="C49" s="26" t="s">
        <v>160</v>
      </c>
      <c r="D49" s="27" t="s">
        <v>157</v>
      </c>
      <c r="E49" s="26" t="s">
        <v>161</v>
      </c>
      <c r="F49" s="27">
        <v>10.0</v>
      </c>
      <c r="G49" s="28">
        <v>120.0</v>
      </c>
      <c r="H49" s="24">
        <v>12.0</v>
      </c>
      <c r="I49" s="29">
        <v>132.0</v>
      </c>
      <c r="J49" s="30" t="str">
        <f t="shared" si="1"/>
        <v>#REF!</v>
      </c>
      <c r="K49" s="31">
        <f t="shared" si="6"/>
        <v>132000</v>
      </c>
      <c r="L49" s="32">
        <v>0.18</v>
      </c>
      <c r="M49" s="33" t="str">
        <f t="shared" si="7"/>
        <v>#REF!</v>
      </c>
      <c r="N49" s="20">
        <f t="shared" si="4"/>
        <v>1320000</v>
      </c>
      <c r="O49" s="21"/>
      <c r="P49" s="21"/>
      <c r="Q49" s="34">
        <f t="shared" si="5"/>
        <v>8</v>
      </c>
      <c r="R49" s="35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24">
        <v>14.0</v>
      </c>
      <c r="B50" s="25" t="s">
        <v>162</v>
      </c>
      <c r="C50" s="26" t="s">
        <v>163</v>
      </c>
      <c r="D50" s="27" t="s">
        <v>71</v>
      </c>
      <c r="E50" s="26" t="s">
        <v>45</v>
      </c>
      <c r="F50" s="27">
        <v>10.0</v>
      </c>
      <c r="G50" s="28">
        <v>58.0</v>
      </c>
      <c r="H50" s="24">
        <v>6.0</v>
      </c>
      <c r="I50" s="29">
        <v>64.0</v>
      </c>
      <c r="J50" s="30" t="str">
        <f t="shared" si="1"/>
        <v>#REF!</v>
      </c>
      <c r="K50" s="31">
        <f t="shared" si="6"/>
        <v>64000</v>
      </c>
      <c r="L50" s="32">
        <v>0.18</v>
      </c>
      <c r="M50" s="33" t="str">
        <f t="shared" si="7"/>
        <v>#REF!</v>
      </c>
      <c r="N50" s="20">
        <f t="shared" si="4"/>
        <v>640000</v>
      </c>
      <c r="O50" s="21"/>
      <c r="P50" s="21"/>
      <c r="Q50" s="34">
        <f t="shared" si="5"/>
        <v>4</v>
      </c>
      <c r="R50" s="35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24">
        <v>15.0</v>
      </c>
      <c r="B51" s="25" t="s">
        <v>164</v>
      </c>
      <c r="C51" s="26" t="s">
        <v>165</v>
      </c>
      <c r="D51" s="27" t="s">
        <v>71</v>
      </c>
      <c r="E51" s="26" t="s">
        <v>65</v>
      </c>
      <c r="F51" s="27">
        <v>10.0</v>
      </c>
      <c r="G51" s="28">
        <v>68.0</v>
      </c>
      <c r="H51" s="24">
        <v>7.0</v>
      </c>
      <c r="I51" s="29">
        <v>75.0</v>
      </c>
      <c r="J51" s="30" t="str">
        <f t="shared" si="1"/>
        <v>#REF!</v>
      </c>
      <c r="K51" s="31">
        <f t="shared" si="6"/>
        <v>75000</v>
      </c>
      <c r="L51" s="32">
        <v>0.18</v>
      </c>
      <c r="M51" s="33" t="str">
        <f t="shared" si="7"/>
        <v>#REF!</v>
      </c>
      <c r="N51" s="20">
        <f t="shared" si="4"/>
        <v>750000</v>
      </c>
      <c r="O51" s="21"/>
      <c r="P51" s="21"/>
      <c r="Q51" s="34">
        <f t="shared" si="5"/>
        <v>5</v>
      </c>
      <c r="R51" s="35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24">
        <v>1.0</v>
      </c>
      <c r="B52" s="25" t="s">
        <v>167</v>
      </c>
      <c r="C52" s="26" t="s">
        <v>168</v>
      </c>
      <c r="D52" s="27" t="s">
        <v>24</v>
      </c>
      <c r="E52" s="26" t="s">
        <v>169</v>
      </c>
      <c r="F52" s="27">
        <v>6.0</v>
      </c>
      <c r="G52" s="28">
        <v>199.0</v>
      </c>
      <c r="H52" s="24">
        <v>20.0</v>
      </c>
      <c r="I52" s="29">
        <v>219.0</v>
      </c>
      <c r="J52" s="30" t="str">
        <f t="shared" si="1"/>
        <v>#REF!</v>
      </c>
      <c r="K52" s="31">
        <f t="shared" si="6"/>
        <v>219000</v>
      </c>
      <c r="L52" s="32">
        <v>0.4</v>
      </c>
      <c r="M52" s="33">
        <f t="shared" ref="M52:M77" si="8">K52-(K52*L52)</f>
        <v>131400</v>
      </c>
      <c r="N52" s="20">
        <f t="shared" si="4"/>
        <v>1314000</v>
      </c>
      <c r="O52" s="21"/>
      <c r="P52" s="21"/>
      <c r="Q52" s="34">
        <f t="shared" si="5"/>
        <v>13</v>
      </c>
      <c r="R52" s="35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24">
        <v>1.0</v>
      </c>
      <c r="B53" s="25" t="s">
        <v>172</v>
      </c>
      <c r="C53" s="26" t="s">
        <v>173</v>
      </c>
      <c r="D53" s="27" t="s">
        <v>174</v>
      </c>
      <c r="E53" s="26" t="s">
        <v>175</v>
      </c>
      <c r="F53" s="27">
        <v>6.0</v>
      </c>
      <c r="G53" s="28">
        <v>299.0</v>
      </c>
      <c r="H53" s="39"/>
      <c r="I53" s="29">
        <v>299.0</v>
      </c>
      <c r="J53" s="30" t="str">
        <f t="shared" si="1"/>
        <v>#REF!</v>
      </c>
      <c r="K53" s="31">
        <f t="shared" si="6"/>
        <v>299000</v>
      </c>
      <c r="L53" s="32">
        <v>0.4</v>
      </c>
      <c r="M53" s="33">
        <f t="shared" si="8"/>
        <v>179400</v>
      </c>
      <c r="N53" s="20">
        <f t="shared" si="4"/>
        <v>1794000</v>
      </c>
      <c r="O53" s="21"/>
      <c r="P53" s="21"/>
      <c r="Q53" s="34">
        <f t="shared" si="5"/>
        <v>18</v>
      </c>
      <c r="R53" s="35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24">
        <v>1.0</v>
      </c>
      <c r="B54" s="25" t="s">
        <v>177</v>
      </c>
      <c r="C54" s="26" t="s">
        <v>178</v>
      </c>
      <c r="D54" s="27" t="s">
        <v>71</v>
      </c>
      <c r="E54" s="26" t="s">
        <v>143</v>
      </c>
      <c r="F54" s="27">
        <v>10.0</v>
      </c>
      <c r="G54" s="28">
        <v>82.0</v>
      </c>
      <c r="H54" s="24">
        <v>8.0</v>
      </c>
      <c r="I54" s="29">
        <v>90.0</v>
      </c>
      <c r="J54" s="30" t="str">
        <f t="shared" si="1"/>
        <v>#REF!</v>
      </c>
      <c r="K54" s="31">
        <f t="shared" si="6"/>
        <v>90000</v>
      </c>
      <c r="L54" s="32">
        <v>0.18</v>
      </c>
      <c r="M54" s="33">
        <f t="shared" si="8"/>
        <v>73800</v>
      </c>
      <c r="N54" s="20">
        <f t="shared" si="4"/>
        <v>900000</v>
      </c>
      <c r="O54" s="21"/>
      <c r="P54" s="21"/>
      <c r="Q54" s="34">
        <f t="shared" si="5"/>
        <v>6</v>
      </c>
      <c r="R54" s="35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24">
        <v>1.0</v>
      </c>
      <c r="B55" s="25" t="s">
        <v>180</v>
      </c>
      <c r="C55" s="26" t="s">
        <v>181</v>
      </c>
      <c r="D55" s="27" t="s">
        <v>182</v>
      </c>
      <c r="E55" s="26" t="s">
        <v>183</v>
      </c>
      <c r="F55" s="27">
        <v>24.0</v>
      </c>
      <c r="G55" s="28">
        <v>37.0</v>
      </c>
      <c r="H55" s="24">
        <v>4.0</v>
      </c>
      <c r="I55" s="29">
        <v>41.0</v>
      </c>
      <c r="J55" s="30" t="str">
        <f t="shared" si="1"/>
        <v>#REF!</v>
      </c>
      <c r="K55" s="31">
        <f t="shared" si="6"/>
        <v>41000</v>
      </c>
      <c r="L55" s="32">
        <v>0.18</v>
      </c>
      <c r="M55" s="33">
        <f t="shared" si="8"/>
        <v>33620</v>
      </c>
      <c r="N55" s="20">
        <f t="shared" si="4"/>
        <v>984000</v>
      </c>
      <c r="O55" s="21"/>
      <c r="P55" s="21"/>
      <c r="Q55" s="34">
        <f t="shared" si="5"/>
        <v>3</v>
      </c>
      <c r="R55" s="35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24">
        <v>2.0</v>
      </c>
      <c r="B56" s="25" t="s">
        <v>184</v>
      </c>
      <c r="C56" s="26" t="s">
        <v>185</v>
      </c>
      <c r="D56" s="27" t="s">
        <v>182</v>
      </c>
      <c r="E56" s="26" t="s">
        <v>183</v>
      </c>
      <c r="F56" s="27">
        <v>24.0</v>
      </c>
      <c r="G56" s="28">
        <v>39.0</v>
      </c>
      <c r="H56" s="24">
        <v>4.0</v>
      </c>
      <c r="I56" s="29">
        <v>43.0</v>
      </c>
      <c r="J56" s="30" t="str">
        <f t="shared" si="1"/>
        <v>#REF!</v>
      </c>
      <c r="K56" s="31">
        <f t="shared" si="6"/>
        <v>43000</v>
      </c>
      <c r="L56" s="32">
        <v>0.18</v>
      </c>
      <c r="M56" s="33">
        <f t="shared" si="8"/>
        <v>35260</v>
      </c>
      <c r="N56" s="20">
        <f t="shared" si="4"/>
        <v>1032000</v>
      </c>
      <c r="O56" s="21"/>
      <c r="P56" s="21"/>
      <c r="Q56" s="34">
        <f t="shared" si="5"/>
        <v>3</v>
      </c>
      <c r="R56" s="35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24">
        <v>3.0</v>
      </c>
      <c r="B57" s="25" t="s">
        <v>186</v>
      </c>
      <c r="C57" s="26" t="s">
        <v>187</v>
      </c>
      <c r="D57" s="27" t="s">
        <v>188</v>
      </c>
      <c r="E57" s="26" t="s">
        <v>189</v>
      </c>
      <c r="F57" s="27">
        <v>24.0</v>
      </c>
      <c r="G57" s="28">
        <v>38.0</v>
      </c>
      <c r="H57" s="24">
        <v>4.0</v>
      </c>
      <c r="I57" s="29">
        <v>42.0</v>
      </c>
      <c r="J57" s="30" t="str">
        <f t="shared" si="1"/>
        <v>#REF!</v>
      </c>
      <c r="K57" s="31">
        <f t="shared" si="6"/>
        <v>42000</v>
      </c>
      <c r="L57" s="32">
        <v>0.18</v>
      </c>
      <c r="M57" s="33">
        <f t="shared" si="8"/>
        <v>34440</v>
      </c>
      <c r="N57" s="20">
        <f t="shared" si="4"/>
        <v>1008000</v>
      </c>
      <c r="O57" s="21"/>
      <c r="P57" s="21"/>
      <c r="Q57" s="34">
        <f t="shared" si="5"/>
        <v>3</v>
      </c>
      <c r="R57" s="35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24">
        <v>4.0</v>
      </c>
      <c r="B58" s="25" t="s">
        <v>190</v>
      </c>
      <c r="C58" s="26" t="s">
        <v>191</v>
      </c>
      <c r="D58" s="27" t="s">
        <v>192</v>
      </c>
      <c r="E58" s="26" t="s">
        <v>189</v>
      </c>
      <c r="F58" s="27">
        <v>24.0</v>
      </c>
      <c r="G58" s="28">
        <v>39.0</v>
      </c>
      <c r="H58" s="24">
        <v>4.0</v>
      </c>
      <c r="I58" s="29">
        <v>43.0</v>
      </c>
      <c r="J58" s="30" t="str">
        <f t="shared" si="1"/>
        <v>#REF!</v>
      </c>
      <c r="K58" s="31">
        <f t="shared" si="6"/>
        <v>43000</v>
      </c>
      <c r="L58" s="32">
        <v>0.18</v>
      </c>
      <c r="M58" s="33">
        <f t="shared" si="8"/>
        <v>35260</v>
      </c>
      <c r="N58" s="20">
        <f t="shared" si="4"/>
        <v>1032000</v>
      </c>
      <c r="O58" s="21"/>
      <c r="P58" s="21"/>
      <c r="Q58" s="34">
        <f t="shared" si="5"/>
        <v>3</v>
      </c>
      <c r="R58" s="35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24">
        <v>5.0</v>
      </c>
      <c r="B59" s="25" t="s">
        <v>193</v>
      </c>
      <c r="C59" s="26" t="s">
        <v>194</v>
      </c>
      <c r="D59" s="27" t="s">
        <v>195</v>
      </c>
      <c r="E59" s="26" t="s">
        <v>196</v>
      </c>
      <c r="F59" s="27">
        <v>18.0</v>
      </c>
      <c r="G59" s="28">
        <v>43.0</v>
      </c>
      <c r="H59" s="24">
        <v>4.0</v>
      </c>
      <c r="I59" s="29">
        <v>47.0</v>
      </c>
      <c r="J59" s="30" t="str">
        <f t="shared" si="1"/>
        <v>#REF!</v>
      </c>
      <c r="K59" s="31">
        <f t="shared" si="6"/>
        <v>47000</v>
      </c>
      <c r="L59" s="32">
        <v>0.18</v>
      </c>
      <c r="M59" s="33">
        <f t="shared" si="8"/>
        <v>38540</v>
      </c>
      <c r="N59" s="20">
        <f t="shared" si="4"/>
        <v>846000</v>
      </c>
      <c r="O59" s="21"/>
      <c r="P59" s="21"/>
      <c r="Q59" s="34">
        <f t="shared" si="5"/>
        <v>3</v>
      </c>
      <c r="R59" s="35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24">
        <v>6.0</v>
      </c>
      <c r="B60" s="25" t="s">
        <v>197</v>
      </c>
      <c r="C60" s="26" t="s">
        <v>198</v>
      </c>
      <c r="D60" s="27" t="s">
        <v>199</v>
      </c>
      <c r="E60" s="26" t="s">
        <v>200</v>
      </c>
      <c r="F60" s="27">
        <v>18.0</v>
      </c>
      <c r="G60" s="28">
        <v>58.0</v>
      </c>
      <c r="H60" s="24">
        <v>6.0</v>
      </c>
      <c r="I60" s="29">
        <v>64.0</v>
      </c>
      <c r="J60" s="30" t="str">
        <f t="shared" si="1"/>
        <v>#REF!</v>
      </c>
      <c r="K60" s="31">
        <f t="shared" si="6"/>
        <v>64000</v>
      </c>
      <c r="L60" s="32">
        <v>0.18</v>
      </c>
      <c r="M60" s="33">
        <f t="shared" si="8"/>
        <v>52480</v>
      </c>
      <c r="N60" s="20">
        <f t="shared" si="4"/>
        <v>1152000</v>
      </c>
      <c r="O60" s="21"/>
      <c r="P60" s="21"/>
      <c r="Q60" s="34">
        <f t="shared" si="5"/>
        <v>4</v>
      </c>
      <c r="R60" s="35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24">
        <v>7.0</v>
      </c>
      <c r="B61" s="25" t="s">
        <v>201</v>
      </c>
      <c r="C61" s="26" t="s">
        <v>202</v>
      </c>
      <c r="D61" s="27" t="s">
        <v>199</v>
      </c>
      <c r="E61" s="26" t="s">
        <v>203</v>
      </c>
      <c r="F61" s="27">
        <v>18.0</v>
      </c>
      <c r="G61" s="28">
        <v>60.0</v>
      </c>
      <c r="H61" s="24">
        <v>6.0</v>
      </c>
      <c r="I61" s="29">
        <v>66.0</v>
      </c>
      <c r="J61" s="30" t="str">
        <f t="shared" si="1"/>
        <v>#REF!</v>
      </c>
      <c r="K61" s="31">
        <f t="shared" si="6"/>
        <v>66000</v>
      </c>
      <c r="L61" s="32">
        <v>0.18</v>
      </c>
      <c r="M61" s="33">
        <f t="shared" si="8"/>
        <v>54120</v>
      </c>
      <c r="N61" s="20">
        <f t="shared" si="4"/>
        <v>1188000</v>
      </c>
      <c r="O61" s="21"/>
      <c r="P61" s="21"/>
      <c r="Q61" s="34">
        <f t="shared" si="5"/>
        <v>4</v>
      </c>
      <c r="R61" s="35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24">
        <v>8.0</v>
      </c>
      <c r="B62" s="25" t="s">
        <v>204</v>
      </c>
      <c r="C62" s="26" t="s">
        <v>205</v>
      </c>
      <c r="D62" s="27" t="s">
        <v>199</v>
      </c>
      <c r="E62" s="26" t="s">
        <v>206</v>
      </c>
      <c r="F62" s="27">
        <v>18.0</v>
      </c>
      <c r="G62" s="28">
        <v>75.0</v>
      </c>
      <c r="H62" s="24">
        <v>8.0</v>
      </c>
      <c r="I62" s="29">
        <v>83.0</v>
      </c>
      <c r="J62" s="30" t="str">
        <f t="shared" si="1"/>
        <v>#REF!</v>
      </c>
      <c r="K62" s="31">
        <f t="shared" si="6"/>
        <v>83000</v>
      </c>
      <c r="L62" s="32">
        <v>0.18</v>
      </c>
      <c r="M62" s="33">
        <f t="shared" si="8"/>
        <v>68060</v>
      </c>
      <c r="N62" s="20">
        <f t="shared" si="4"/>
        <v>1494000</v>
      </c>
      <c r="O62" s="21"/>
      <c r="P62" s="21"/>
      <c r="Q62" s="34">
        <f t="shared" si="5"/>
        <v>5</v>
      </c>
      <c r="R62" s="35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24">
        <v>9.0</v>
      </c>
      <c r="B63" s="25" t="s">
        <v>207</v>
      </c>
      <c r="C63" s="26" t="s">
        <v>208</v>
      </c>
      <c r="D63" s="27" t="s">
        <v>182</v>
      </c>
      <c r="E63" s="26" t="s">
        <v>209</v>
      </c>
      <c r="F63" s="27">
        <v>24.0</v>
      </c>
      <c r="G63" s="28">
        <v>55.0</v>
      </c>
      <c r="H63" s="24">
        <v>6.0</v>
      </c>
      <c r="I63" s="29">
        <v>61.0</v>
      </c>
      <c r="J63" s="30" t="str">
        <f t="shared" si="1"/>
        <v>#REF!</v>
      </c>
      <c r="K63" s="31">
        <f t="shared" si="6"/>
        <v>61000</v>
      </c>
      <c r="L63" s="32">
        <v>0.18</v>
      </c>
      <c r="M63" s="33">
        <f t="shared" si="8"/>
        <v>50020</v>
      </c>
      <c r="N63" s="20">
        <f t="shared" si="4"/>
        <v>1464000</v>
      </c>
      <c r="O63" s="21"/>
      <c r="P63" s="21"/>
      <c r="Q63" s="34">
        <f t="shared" si="5"/>
        <v>4</v>
      </c>
      <c r="R63" s="35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24">
        <v>10.0</v>
      </c>
      <c r="B64" s="25" t="s">
        <v>210</v>
      </c>
      <c r="C64" s="26" t="s">
        <v>211</v>
      </c>
      <c r="D64" s="27" t="s">
        <v>182</v>
      </c>
      <c r="E64" s="26" t="s">
        <v>212</v>
      </c>
      <c r="F64" s="27">
        <v>24.0</v>
      </c>
      <c r="G64" s="28">
        <v>55.0</v>
      </c>
      <c r="H64" s="24">
        <v>6.0</v>
      </c>
      <c r="I64" s="29">
        <v>61.0</v>
      </c>
      <c r="J64" s="30" t="str">
        <f t="shared" si="1"/>
        <v>#REF!</v>
      </c>
      <c r="K64" s="31">
        <f t="shared" si="6"/>
        <v>61000</v>
      </c>
      <c r="L64" s="32">
        <v>0.18</v>
      </c>
      <c r="M64" s="33">
        <f t="shared" si="8"/>
        <v>50020</v>
      </c>
      <c r="N64" s="20">
        <f t="shared" si="4"/>
        <v>1464000</v>
      </c>
      <c r="O64" s="21"/>
      <c r="P64" s="21"/>
      <c r="Q64" s="34">
        <f t="shared" si="5"/>
        <v>4</v>
      </c>
      <c r="R64" s="35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24">
        <v>1.0</v>
      </c>
      <c r="B65" s="25" t="s">
        <v>214</v>
      </c>
      <c r="C65" s="26" t="s">
        <v>215</v>
      </c>
      <c r="D65" s="27" t="s">
        <v>17</v>
      </c>
      <c r="E65" s="26" t="s">
        <v>216</v>
      </c>
      <c r="F65" s="27">
        <v>24.0</v>
      </c>
      <c r="G65" s="28">
        <v>215.0</v>
      </c>
      <c r="H65" s="24">
        <v>22.0</v>
      </c>
      <c r="I65" s="29">
        <v>237.0</v>
      </c>
      <c r="J65" s="30" t="str">
        <f t="shared" si="1"/>
        <v>#REF!</v>
      </c>
      <c r="K65" s="31">
        <f t="shared" si="6"/>
        <v>237000</v>
      </c>
      <c r="L65" s="32">
        <v>0.16</v>
      </c>
      <c r="M65" s="33">
        <f t="shared" si="8"/>
        <v>199080</v>
      </c>
      <c r="N65" s="20">
        <f t="shared" si="4"/>
        <v>5688000</v>
      </c>
      <c r="O65" s="21"/>
      <c r="P65" s="21"/>
      <c r="Q65" s="34">
        <f t="shared" si="5"/>
        <v>14</v>
      </c>
      <c r="R65" s="35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24">
        <v>2.0</v>
      </c>
      <c r="B66" s="25" t="s">
        <v>217</v>
      </c>
      <c r="C66" s="26" t="s">
        <v>218</v>
      </c>
      <c r="D66" s="27" t="s">
        <v>219</v>
      </c>
      <c r="E66" s="26" t="s">
        <v>220</v>
      </c>
      <c r="F66" s="27">
        <v>24.0</v>
      </c>
      <c r="G66" s="28">
        <v>205.0</v>
      </c>
      <c r="H66" s="24">
        <v>21.0</v>
      </c>
      <c r="I66" s="29">
        <v>226.0</v>
      </c>
      <c r="J66" s="30" t="str">
        <f t="shared" si="1"/>
        <v>#REF!</v>
      </c>
      <c r="K66" s="31">
        <f t="shared" si="6"/>
        <v>226000</v>
      </c>
      <c r="L66" s="32">
        <v>0.16</v>
      </c>
      <c r="M66" s="33">
        <f t="shared" si="8"/>
        <v>189840</v>
      </c>
      <c r="N66" s="20">
        <f t="shared" si="4"/>
        <v>5424000</v>
      </c>
      <c r="O66" s="21"/>
      <c r="P66" s="21"/>
      <c r="Q66" s="34">
        <f t="shared" si="5"/>
        <v>13</v>
      </c>
      <c r="R66" s="35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24">
        <v>3.0</v>
      </c>
      <c r="B67" s="25" t="s">
        <v>221</v>
      </c>
      <c r="C67" s="26" t="s">
        <v>222</v>
      </c>
      <c r="D67" s="27" t="s">
        <v>64</v>
      </c>
      <c r="E67" s="26" t="s">
        <v>223</v>
      </c>
      <c r="F67" s="27">
        <v>24.0</v>
      </c>
      <c r="G67" s="28">
        <v>350.0</v>
      </c>
      <c r="H67" s="24">
        <v>40.0</v>
      </c>
      <c r="I67" s="29">
        <v>390.0</v>
      </c>
      <c r="J67" s="30" t="str">
        <f t="shared" si="1"/>
        <v>#REF!</v>
      </c>
      <c r="K67" s="31">
        <f t="shared" si="6"/>
        <v>390000</v>
      </c>
      <c r="L67" s="32">
        <v>0.16</v>
      </c>
      <c r="M67" s="33">
        <f t="shared" si="8"/>
        <v>327600</v>
      </c>
      <c r="N67" s="20">
        <f t="shared" si="4"/>
        <v>9360000</v>
      </c>
      <c r="O67" s="21"/>
      <c r="P67" s="21"/>
      <c r="Q67" s="34">
        <f t="shared" si="5"/>
        <v>23</v>
      </c>
      <c r="R67" s="35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24">
        <v>4.0</v>
      </c>
      <c r="B68" s="25" t="s">
        <v>224</v>
      </c>
      <c r="C68" s="26" t="s">
        <v>225</v>
      </c>
      <c r="D68" s="27" t="s">
        <v>219</v>
      </c>
      <c r="E68" s="26" t="s">
        <v>226</v>
      </c>
      <c r="F68" s="27">
        <v>24.0</v>
      </c>
      <c r="G68" s="28">
        <v>320.0</v>
      </c>
      <c r="H68" s="24">
        <v>32.0</v>
      </c>
      <c r="I68" s="29">
        <v>352.0</v>
      </c>
      <c r="J68" s="30" t="str">
        <f t="shared" si="1"/>
        <v>#REF!</v>
      </c>
      <c r="K68" s="31">
        <f t="shared" si="6"/>
        <v>352000</v>
      </c>
      <c r="L68" s="32">
        <v>0.16</v>
      </c>
      <c r="M68" s="33">
        <f t="shared" si="8"/>
        <v>295680</v>
      </c>
      <c r="N68" s="20">
        <f t="shared" si="4"/>
        <v>8448000</v>
      </c>
      <c r="O68" s="21"/>
      <c r="P68" s="21"/>
      <c r="Q68" s="34">
        <f t="shared" si="5"/>
        <v>21</v>
      </c>
      <c r="R68" s="35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24">
        <v>5.0</v>
      </c>
      <c r="B69" s="25" t="s">
        <v>227</v>
      </c>
      <c r="C69" s="26" t="s">
        <v>228</v>
      </c>
      <c r="D69" s="27" t="s">
        <v>64</v>
      </c>
      <c r="E69" s="26" t="s">
        <v>229</v>
      </c>
      <c r="F69" s="27">
        <v>24.0</v>
      </c>
      <c r="G69" s="28">
        <v>360.0</v>
      </c>
      <c r="H69" s="24">
        <v>36.0</v>
      </c>
      <c r="I69" s="29">
        <v>396.0</v>
      </c>
      <c r="J69" s="30" t="str">
        <f t="shared" si="1"/>
        <v>#REF!</v>
      </c>
      <c r="K69" s="31">
        <f t="shared" si="6"/>
        <v>396000</v>
      </c>
      <c r="L69" s="32">
        <v>0.16</v>
      </c>
      <c r="M69" s="33">
        <f t="shared" si="8"/>
        <v>332640</v>
      </c>
      <c r="N69" s="20">
        <f t="shared" si="4"/>
        <v>9504000</v>
      </c>
      <c r="O69" s="21"/>
      <c r="P69" s="21"/>
      <c r="Q69" s="34">
        <f t="shared" si="5"/>
        <v>23</v>
      </c>
      <c r="R69" s="35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24">
        <v>6.0</v>
      </c>
      <c r="B70" s="25" t="s">
        <v>230</v>
      </c>
      <c r="C70" s="26" t="s">
        <v>231</v>
      </c>
      <c r="D70" s="27" t="s">
        <v>64</v>
      </c>
      <c r="E70" s="26" t="s">
        <v>232</v>
      </c>
      <c r="F70" s="27">
        <v>24.0</v>
      </c>
      <c r="G70" s="28">
        <v>390.0</v>
      </c>
      <c r="H70" s="24">
        <v>39.0</v>
      </c>
      <c r="I70" s="29">
        <v>429.0</v>
      </c>
      <c r="J70" s="30" t="str">
        <f t="shared" si="1"/>
        <v>#REF!</v>
      </c>
      <c r="K70" s="31">
        <f t="shared" si="6"/>
        <v>429000</v>
      </c>
      <c r="L70" s="32">
        <v>0.16</v>
      </c>
      <c r="M70" s="33">
        <f t="shared" si="8"/>
        <v>360360</v>
      </c>
      <c r="N70" s="20">
        <f t="shared" si="4"/>
        <v>10296000</v>
      </c>
      <c r="O70" s="21"/>
      <c r="P70" s="21"/>
      <c r="Q70" s="34">
        <f t="shared" si="5"/>
        <v>25</v>
      </c>
      <c r="R70" s="35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24">
        <v>7.0</v>
      </c>
      <c r="B71" s="25" t="s">
        <v>233</v>
      </c>
      <c r="C71" s="26" t="s">
        <v>234</v>
      </c>
      <c r="D71" s="27" t="s">
        <v>64</v>
      </c>
      <c r="E71" s="26" t="s">
        <v>235</v>
      </c>
      <c r="F71" s="27">
        <v>24.0</v>
      </c>
      <c r="G71" s="28">
        <v>310.0</v>
      </c>
      <c r="H71" s="24">
        <v>31.0</v>
      </c>
      <c r="I71" s="29">
        <v>341.0</v>
      </c>
      <c r="J71" s="30" t="str">
        <f t="shared" si="1"/>
        <v>#REF!</v>
      </c>
      <c r="K71" s="31">
        <f t="shared" si="6"/>
        <v>341000</v>
      </c>
      <c r="L71" s="32">
        <v>0.16</v>
      </c>
      <c r="M71" s="33">
        <f t="shared" si="8"/>
        <v>286440</v>
      </c>
      <c r="N71" s="20">
        <f t="shared" si="4"/>
        <v>8184000</v>
      </c>
      <c r="O71" s="21"/>
      <c r="P71" s="21"/>
      <c r="Q71" s="34">
        <f t="shared" si="5"/>
        <v>20</v>
      </c>
      <c r="R71" s="35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24">
        <v>1.0</v>
      </c>
      <c r="B72" s="25" t="s">
        <v>237</v>
      </c>
      <c r="C72" s="26" t="s">
        <v>238</v>
      </c>
      <c r="D72" s="27" t="s">
        <v>17</v>
      </c>
      <c r="E72" s="26" t="s">
        <v>239</v>
      </c>
      <c r="F72" s="27">
        <v>24.0</v>
      </c>
      <c r="G72" s="28">
        <v>215.0</v>
      </c>
      <c r="H72" s="24">
        <v>22.0</v>
      </c>
      <c r="I72" s="29">
        <v>237.0</v>
      </c>
      <c r="J72" s="30" t="str">
        <f t="shared" si="1"/>
        <v>#REF!</v>
      </c>
      <c r="K72" s="31">
        <f t="shared" si="6"/>
        <v>237000</v>
      </c>
      <c r="L72" s="32">
        <v>0.15</v>
      </c>
      <c r="M72" s="33">
        <f t="shared" si="8"/>
        <v>201450</v>
      </c>
      <c r="N72" s="20">
        <f t="shared" si="4"/>
        <v>5688000</v>
      </c>
      <c r="O72" s="21"/>
      <c r="P72" s="21"/>
      <c r="Q72" s="34">
        <f t="shared" si="5"/>
        <v>14</v>
      </c>
      <c r="R72" s="35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24">
        <v>2.0</v>
      </c>
      <c r="B73" s="25" t="s">
        <v>240</v>
      </c>
      <c r="C73" s="26" t="s">
        <v>241</v>
      </c>
      <c r="D73" s="27" t="s">
        <v>242</v>
      </c>
      <c r="E73" s="26" t="s">
        <v>243</v>
      </c>
      <c r="F73" s="27">
        <v>24.0</v>
      </c>
      <c r="G73" s="28">
        <v>215.0</v>
      </c>
      <c r="H73" s="24">
        <v>22.0</v>
      </c>
      <c r="I73" s="29">
        <v>237.0</v>
      </c>
      <c r="J73" s="30" t="str">
        <f t="shared" si="1"/>
        <v>#REF!</v>
      </c>
      <c r="K73" s="31">
        <f t="shared" si="6"/>
        <v>237000</v>
      </c>
      <c r="L73" s="32">
        <v>0.15</v>
      </c>
      <c r="M73" s="33">
        <f t="shared" si="8"/>
        <v>201450</v>
      </c>
      <c r="N73" s="20">
        <f t="shared" si="4"/>
        <v>5688000</v>
      </c>
      <c r="O73" s="21"/>
      <c r="P73" s="21"/>
      <c r="Q73" s="34">
        <f t="shared" si="5"/>
        <v>14</v>
      </c>
      <c r="R73" s="35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24">
        <v>3.0</v>
      </c>
      <c r="B74" s="25" t="s">
        <v>244</v>
      </c>
      <c r="C74" s="26" t="s">
        <v>245</v>
      </c>
      <c r="D74" s="27" t="s">
        <v>242</v>
      </c>
      <c r="E74" s="26" t="s">
        <v>243</v>
      </c>
      <c r="F74" s="27">
        <v>24.0</v>
      </c>
      <c r="G74" s="28">
        <v>235.0</v>
      </c>
      <c r="H74" s="24">
        <v>24.0</v>
      </c>
      <c r="I74" s="29">
        <v>259.0</v>
      </c>
      <c r="J74" s="30" t="str">
        <f t="shared" si="1"/>
        <v>#REF!</v>
      </c>
      <c r="K74" s="31">
        <f t="shared" si="6"/>
        <v>259000</v>
      </c>
      <c r="L74" s="32">
        <v>0.15</v>
      </c>
      <c r="M74" s="33">
        <f t="shared" si="8"/>
        <v>220150</v>
      </c>
      <c r="N74" s="20">
        <f t="shared" si="4"/>
        <v>6216000</v>
      </c>
      <c r="O74" s="21"/>
      <c r="P74" s="21"/>
      <c r="Q74" s="34">
        <f t="shared" si="5"/>
        <v>15</v>
      </c>
      <c r="R74" s="35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24">
        <v>4.0</v>
      </c>
      <c r="B75" s="25" t="s">
        <v>246</v>
      </c>
      <c r="C75" s="26" t="s">
        <v>247</v>
      </c>
      <c r="D75" s="27" t="s">
        <v>17</v>
      </c>
      <c r="E75" s="26" t="s">
        <v>248</v>
      </c>
      <c r="F75" s="27">
        <v>24.0</v>
      </c>
      <c r="G75" s="28">
        <v>265.0</v>
      </c>
      <c r="H75" s="24">
        <v>27.0</v>
      </c>
      <c r="I75" s="29">
        <v>292.0</v>
      </c>
      <c r="J75" s="30" t="str">
        <f t="shared" si="1"/>
        <v>#REF!</v>
      </c>
      <c r="K75" s="31">
        <f t="shared" si="6"/>
        <v>292000</v>
      </c>
      <c r="L75" s="32">
        <v>0.15</v>
      </c>
      <c r="M75" s="33">
        <f t="shared" si="8"/>
        <v>248200</v>
      </c>
      <c r="N75" s="20">
        <f t="shared" si="4"/>
        <v>7008000</v>
      </c>
      <c r="O75" s="21"/>
      <c r="P75" s="21"/>
      <c r="Q75" s="34">
        <f t="shared" si="5"/>
        <v>17</v>
      </c>
      <c r="R75" s="35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24">
        <v>5.0</v>
      </c>
      <c r="B76" s="25" t="s">
        <v>249</v>
      </c>
      <c r="C76" s="26" t="s">
        <v>250</v>
      </c>
      <c r="D76" s="27" t="s">
        <v>242</v>
      </c>
      <c r="E76" s="26" t="s">
        <v>248</v>
      </c>
      <c r="F76" s="27">
        <v>24.0</v>
      </c>
      <c r="G76" s="28">
        <v>265.0</v>
      </c>
      <c r="H76" s="24">
        <v>27.0</v>
      </c>
      <c r="I76" s="29">
        <v>292.0</v>
      </c>
      <c r="J76" s="30" t="str">
        <f t="shared" si="1"/>
        <v>#REF!</v>
      </c>
      <c r="K76" s="31">
        <f t="shared" si="6"/>
        <v>292000</v>
      </c>
      <c r="L76" s="32">
        <v>0.15</v>
      </c>
      <c r="M76" s="33">
        <f t="shared" si="8"/>
        <v>248200</v>
      </c>
      <c r="N76" s="20">
        <f t="shared" si="4"/>
        <v>7008000</v>
      </c>
      <c r="O76" s="21"/>
      <c r="P76" s="21"/>
      <c r="Q76" s="34">
        <f t="shared" si="5"/>
        <v>17</v>
      </c>
      <c r="R76" s="35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24">
        <v>6.0</v>
      </c>
      <c r="B77" s="25" t="s">
        <v>251</v>
      </c>
      <c r="C77" s="26" t="s">
        <v>252</v>
      </c>
      <c r="D77" s="27" t="s">
        <v>253</v>
      </c>
      <c r="E77" s="26" t="s">
        <v>254</v>
      </c>
      <c r="F77" s="27">
        <v>12.0</v>
      </c>
      <c r="G77" s="28">
        <v>65.0</v>
      </c>
      <c r="H77" s="24">
        <v>7.0</v>
      </c>
      <c r="I77" s="29">
        <v>72.0</v>
      </c>
      <c r="J77" s="30" t="str">
        <f t="shared" si="1"/>
        <v>#REF!</v>
      </c>
      <c r="K77" s="31">
        <f t="shared" si="6"/>
        <v>72000</v>
      </c>
      <c r="L77" s="32">
        <v>0.15</v>
      </c>
      <c r="M77" s="33">
        <f t="shared" si="8"/>
        <v>61200</v>
      </c>
      <c r="N77" s="20">
        <f t="shared" si="4"/>
        <v>864000</v>
      </c>
      <c r="O77" s="21"/>
      <c r="P77" s="21"/>
      <c r="Q77" s="34">
        <f t="shared" si="5"/>
        <v>5</v>
      </c>
      <c r="R77" s="35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21"/>
      <c r="B78" s="40"/>
      <c r="C78" s="40"/>
      <c r="D78" s="41"/>
      <c r="E78" s="40"/>
      <c r="F78" s="21"/>
      <c r="G78" s="21"/>
      <c r="H78" s="21"/>
      <c r="I78" s="42"/>
      <c r="J78" s="30"/>
      <c r="K78" s="31"/>
      <c r="L78" s="33"/>
      <c r="M78" s="33"/>
      <c r="N78" s="20"/>
      <c r="O78" s="21"/>
      <c r="P78" s="21"/>
      <c r="Q78" s="40"/>
      <c r="R78" s="35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43"/>
      <c r="B79" s="40"/>
      <c r="C79" s="44"/>
      <c r="D79" s="45"/>
      <c r="E79" s="44"/>
      <c r="F79" s="43"/>
      <c r="G79" s="43"/>
      <c r="H79" s="43"/>
      <c r="I79" s="46"/>
      <c r="J79" s="47"/>
      <c r="K79" s="48"/>
      <c r="L79" s="49"/>
      <c r="M79" s="49"/>
      <c r="N79" s="50"/>
      <c r="O79" s="43"/>
      <c r="P79" s="43"/>
      <c r="Q79" s="44"/>
      <c r="R79" s="35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43"/>
      <c r="B80" s="40"/>
      <c r="C80" s="44"/>
      <c r="D80" s="45"/>
      <c r="E80" s="44"/>
      <c r="F80" s="43"/>
      <c r="G80" s="43"/>
      <c r="H80" s="43"/>
      <c r="I80" s="46"/>
      <c r="J80" s="47"/>
      <c r="K80" s="48"/>
      <c r="L80" s="49"/>
      <c r="M80" s="49"/>
      <c r="N80" s="50"/>
      <c r="O80" s="43"/>
      <c r="P80" s="43"/>
      <c r="Q80" s="44"/>
      <c r="R80" s="35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43"/>
      <c r="B81" s="40"/>
      <c r="C81" s="44"/>
      <c r="D81" s="45"/>
      <c r="E81" s="44"/>
      <c r="F81" s="43"/>
      <c r="G81" s="43"/>
      <c r="H81" s="43"/>
      <c r="I81" s="46"/>
      <c r="J81" s="47"/>
      <c r="K81" s="48"/>
      <c r="L81" s="49"/>
      <c r="M81" s="49"/>
      <c r="N81" s="50"/>
      <c r="O81" s="43"/>
      <c r="P81" s="43"/>
      <c r="Q81" s="44"/>
      <c r="R81" s="35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43"/>
      <c r="B82" s="40"/>
      <c r="C82" s="44"/>
      <c r="D82" s="45"/>
      <c r="E82" s="44"/>
      <c r="F82" s="43"/>
      <c r="G82" s="43"/>
      <c r="H82" s="43"/>
      <c r="I82" s="46"/>
      <c r="J82" s="47"/>
      <c r="K82" s="48"/>
      <c r="L82" s="49"/>
      <c r="M82" s="49"/>
      <c r="N82" s="50"/>
      <c r="O82" s="43"/>
      <c r="P82" s="43"/>
      <c r="Q82" s="44"/>
      <c r="R82" s="35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43"/>
      <c r="B83" s="40"/>
      <c r="C83" s="44"/>
      <c r="D83" s="45"/>
      <c r="E83" s="44"/>
      <c r="F83" s="43"/>
      <c r="G83" s="43"/>
      <c r="H83" s="43"/>
      <c r="I83" s="46"/>
      <c r="J83" s="47"/>
      <c r="K83" s="48"/>
      <c r="L83" s="49"/>
      <c r="M83" s="49"/>
      <c r="N83" s="50"/>
      <c r="O83" s="43"/>
      <c r="P83" s="43"/>
      <c r="Q83" s="44"/>
      <c r="R83" s="35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43"/>
      <c r="B84" s="40"/>
      <c r="C84" s="44"/>
      <c r="D84" s="45"/>
      <c r="E84" s="44"/>
      <c r="F84" s="43"/>
      <c r="G84" s="43"/>
      <c r="H84" s="43"/>
      <c r="I84" s="46"/>
      <c r="J84" s="47"/>
      <c r="K84" s="48"/>
      <c r="L84" s="49"/>
      <c r="M84" s="49"/>
      <c r="N84" s="50"/>
      <c r="O84" s="43"/>
      <c r="P84" s="43"/>
      <c r="Q84" s="44"/>
      <c r="R84" s="35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43"/>
      <c r="B85" s="40"/>
      <c r="C85" s="44"/>
      <c r="D85" s="45"/>
      <c r="E85" s="44"/>
      <c r="F85" s="43"/>
      <c r="G85" s="43"/>
      <c r="H85" s="43"/>
      <c r="I85" s="46"/>
      <c r="J85" s="47"/>
      <c r="K85" s="48"/>
      <c r="L85" s="49"/>
      <c r="M85" s="49"/>
      <c r="N85" s="50"/>
      <c r="O85" s="43"/>
      <c r="P85" s="43"/>
      <c r="Q85" s="44"/>
      <c r="R85" s="35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43"/>
      <c r="B86" s="40"/>
      <c r="C86" s="44"/>
      <c r="D86" s="45"/>
      <c r="E86" s="44"/>
      <c r="F86" s="43"/>
      <c r="G86" s="43"/>
      <c r="H86" s="43"/>
      <c r="I86" s="46"/>
      <c r="J86" s="47"/>
      <c r="K86" s="48"/>
      <c r="L86" s="49"/>
      <c r="M86" s="49"/>
      <c r="N86" s="50"/>
      <c r="O86" s="43"/>
      <c r="P86" s="43"/>
      <c r="Q86" s="44"/>
      <c r="R86" s="35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43"/>
      <c r="B87" s="40"/>
      <c r="C87" s="44"/>
      <c r="D87" s="45"/>
      <c r="E87" s="44"/>
      <c r="F87" s="43"/>
      <c r="G87" s="43"/>
      <c r="H87" s="43"/>
      <c r="I87" s="46"/>
      <c r="J87" s="47"/>
      <c r="K87" s="48"/>
      <c r="L87" s="49"/>
      <c r="M87" s="49"/>
      <c r="N87" s="50"/>
      <c r="O87" s="43"/>
      <c r="P87" s="43"/>
      <c r="Q87" s="44"/>
      <c r="R87" s="35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43"/>
      <c r="B88" s="40"/>
      <c r="C88" s="44"/>
      <c r="D88" s="45"/>
      <c r="E88" s="44"/>
      <c r="F88" s="43"/>
      <c r="G88" s="43"/>
      <c r="H88" s="43"/>
      <c r="I88" s="46"/>
      <c r="J88" s="47"/>
      <c r="K88" s="48"/>
      <c r="L88" s="49"/>
      <c r="M88" s="49"/>
      <c r="N88" s="50"/>
      <c r="O88" s="43"/>
      <c r="P88" s="43"/>
      <c r="Q88" s="44"/>
      <c r="R88" s="35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43"/>
      <c r="B89" s="40"/>
      <c r="C89" s="44"/>
      <c r="D89" s="45"/>
      <c r="E89" s="44"/>
      <c r="F89" s="43"/>
      <c r="G89" s="43"/>
      <c r="H89" s="43"/>
      <c r="I89" s="46"/>
      <c r="J89" s="47"/>
      <c r="K89" s="48"/>
      <c r="L89" s="49"/>
      <c r="M89" s="49"/>
      <c r="N89" s="50"/>
      <c r="O89" s="43"/>
      <c r="P89" s="43"/>
      <c r="Q89" s="44"/>
      <c r="R89" s="35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43"/>
      <c r="B90" s="40"/>
      <c r="C90" s="44"/>
      <c r="D90" s="45"/>
      <c r="E90" s="44"/>
      <c r="F90" s="43"/>
      <c r="G90" s="43"/>
      <c r="H90" s="43"/>
      <c r="I90" s="46"/>
      <c r="J90" s="47"/>
      <c r="K90" s="48"/>
      <c r="L90" s="49"/>
      <c r="M90" s="49"/>
      <c r="N90" s="50"/>
      <c r="O90" s="43"/>
      <c r="P90" s="43"/>
      <c r="Q90" s="44"/>
      <c r="R90" s="35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43"/>
      <c r="B91" s="40"/>
      <c r="C91" s="44"/>
      <c r="D91" s="45"/>
      <c r="E91" s="44"/>
      <c r="F91" s="43"/>
      <c r="G91" s="43"/>
      <c r="H91" s="43"/>
      <c r="I91" s="46"/>
      <c r="J91" s="47"/>
      <c r="K91" s="48"/>
      <c r="L91" s="49"/>
      <c r="M91" s="49"/>
      <c r="N91" s="50"/>
      <c r="O91" s="43"/>
      <c r="P91" s="43"/>
      <c r="Q91" s="44"/>
      <c r="R91" s="35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43"/>
      <c r="B92" s="40"/>
      <c r="C92" s="44"/>
      <c r="D92" s="45"/>
      <c r="E92" s="44"/>
      <c r="F92" s="43"/>
      <c r="G92" s="43"/>
      <c r="H92" s="43"/>
      <c r="I92" s="46"/>
      <c r="J92" s="47"/>
      <c r="K92" s="48"/>
      <c r="L92" s="49"/>
      <c r="M92" s="49"/>
      <c r="N92" s="50"/>
      <c r="O92" s="43"/>
      <c r="P92" s="43"/>
      <c r="Q92" s="44"/>
      <c r="R92" s="35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43"/>
      <c r="B93" s="40"/>
      <c r="C93" s="44"/>
      <c r="D93" s="45"/>
      <c r="E93" s="44"/>
      <c r="F93" s="43"/>
      <c r="G93" s="43"/>
      <c r="H93" s="43"/>
      <c r="I93" s="46"/>
      <c r="J93" s="47"/>
      <c r="K93" s="48"/>
      <c r="L93" s="49"/>
      <c r="M93" s="49"/>
      <c r="N93" s="50"/>
      <c r="O93" s="43"/>
      <c r="P93" s="43"/>
      <c r="Q93" s="44"/>
      <c r="R93" s="35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43"/>
      <c r="B94" s="40"/>
      <c r="C94" s="44"/>
      <c r="D94" s="45"/>
      <c r="E94" s="44"/>
      <c r="F94" s="43"/>
      <c r="G94" s="43"/>
      <c r="H94" s="43"/>
      <c r="I94" s="46"/>
      <c r="J94" s="47"/>
      <c r="K94" s="48"/>
      <c r="L94" s="49"/>
      <c r="M94" s="49"/>
      <c r="N94" s="50"/>
      <c r="O94" s="43"/>
      <c r="P94" s="43"/>
      <c r="Q94" s="44"/>
      <c r="R94" s="35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43"/>
      <c r="B95" s="40"/>
      <c r="C95" s="44"/>
      <c r="D95" s="45"/>
      <c r="E95" s="44"/>
      <c r="F95" s="43"/>
      <c r="G95" s="43"/>
      <c r="H95" s="43"/>
      <c r="I95" s="46"/>
      <c r="J95" s="47"/>
      <c r="K95" s="48"/>
      <c r="L95" s="49"/>
      <c r="M95" s="49"/>
      <c r="N95" s="50"/>
      <c r="O95" s="43"/>
      <c r="P95" s="43"/>
      <c r="Q95" s="44"/>
      <c r="R95" s="35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43"/>
      <c r="B96" s="40"/>
      <c r="C96" s="44"/>
      <c r="D96" s="45"/>
      <c r="E96" s="44"/>
      <c r="F96" s="43"/>
      <c r="G96" s="43"/>
      <c r="H96" s="43"/>
      <c r="I96" s="46"/>
      <c r="J96" s="47"/>
      <c r="K96" s="48"/>
      <c r="L96" s="49"/>
      <c r="M96" s="49"/>
      <c r="N96" s="50"/>
      <c r="O96" s="43"/>
      <c r="P96" s="43"/>
      <c r="Q96" s="44"/>
      <c r="R96" s="35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43"/>
      <c r="B97" s="40"/>
      <c r="C97" s="44"/>
      <c r="D97" s="45"/>
      <c r="E97" s="44"/>
      <c r="F97" s="43"/>
      <c r="G97" s="43"/>
      <c r="H97" s="43"/>
      <c r="I97" s="46"/>
      <c r="J97" s="47"/>
      <c r="K97" s="48"/>
      <c r="L97" s="49"/>
      <c r="M97" s="49"/>
      <c r="N97" s="50"/>
      <c r="O97" s="43"/>
      <c r="P97" s="43"/>
      <c r="Q97" s="44"/>
      <c r="R97" s="35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43"/>
      <c r="B98" s="40"/>
      <c r="C98" s="44"/>
      <c r="D98" s="45"/>
      <c r="E98" s="44"/>
      <c r="F98" s="43"/>
      <c r="G98" s="43"/>
      <c r="H98" s="43"/>
      <c r="I98" s="46"/>
      <c r="J98" s="47"/>
      <c r="K98" s="48"/>
      <c r="L98" s="49"/>
      <c r="M98" s="49"/>
      <c r="N98" s="50"/>
      <c r="O98" s="43"/>
      <c r="P98" s="43"/>
      <c r="Q98" s="44"/>
      <c r="R98" s="35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43"/>
      <c r="B99" s="40"/>
      <c r="C99" s="44"/>
      <c r="D99" s="45"/>
      <c r="E99" s="44"/>
      <c r="F99" s="43"/>
      <c r="G99" s="43"/>
      <c r="H99" s="43"/>
      <c r="I99" s="46"/>
      <c r="J99" s="47"/>
      <c r="K99" s="48"/>
      <c r="L99" s="49"/>
      <c r="M99" s="49"/>
      <c r="N99" s="50"/>
      <c r="O99" s="43"/>
      <c r="P99" s="43"/>
      <c r="Q99" s="44"/>
      <c r="R99" s="35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43"/>
      <c r="B100" s="40"/>
      <c r="C100" s="44"/>
      <c r="D100" s="45"/>
      <c r="E100" s="44"/>
      <c r="F100" s="43"/>
      <c r="G100" s="43"/>
      <c r="H100" s="43"/>
      <c r="I100" s="46"/>
      <c r="J100" s="47"/>
      <c r="K100" s="48"/>
      <c r="L100" s="49"/>
      <c r="M100" s="49"/>
      <c r="N100" s="50"/>
      <c r="O100" s="43"/>
      <c r="P100" s="43"/>
      <c r="Q100" s="44"/>
      <c r="R100" s="35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43"/>
      <c r="B101" s="40"/>
      <c r="C101" s="44"/>
      <c r="D101" s="45"/>
      <c r="E101" s="44"/>
      <c r="F101" s="43"/>
      <c r="G101" s="43"/>
      <c r="H101" s="43"/>
      <c r="I101" s="46"/>
      <c r="J101" s="47"/>
      <c r="K101" s="48"/>
      <c r="L101" s="49"/>
      <c r="M101" s="49"/>
      <c r="N101" s="50"/>
      <c r="O101" s="43"/>
      <c r="P101" s="43"/>
      <c r="Q101" s="44"/>
      <c r="R101" s="35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43"/>
      <c r="B102" s="40"/>
      <c r="C102" s="44"/>
      <c r="D102" s="45"/>
      <c r="E102" s="44"/>
      <c r="F102" s="43"/>
      <c r="G102" s="43"/>
      <c r="H102" s="43"/>
      <c r="I102" s="46"/>
      <c r="J102" s="47"/>
      <c r="K102" s="48"/>
      <c r="L102" s="49"/>
      <c r="M102" s="49"/>
      <c r="N102" s="50"/>
      <c r="O102" s="43"/>
      <c r="P102" s="43"/>
      <c r="Q102" s="44"/>
      <c r="R102" s="35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43"/>
      <c r="B103" s="40"/>
      <c r="C103" s="44"/>
      <c r="D103" s="45"/>
      <c r="E103" s="44"/>
      <c r="F103" s="43"/>
      <c r="G103" s="43"/>
      <c r="H103" s="43"/>
      <c r="I103" s="46"/>
      <c r="J103" s="47"/>
      <c r="K103" s="48"/>
      <c r="L103" s="49"/>
      <c r="M103" s="49"/>
      <c r="N103" s="50"/>
      <c r="O103" s="43"/>
      <c r="P103" s="43"/>
      <c r="Q103" s="44"/>
      <c r="R103" s="35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43"/>
      <c r="B104" s="40"/>
      <c r="C104" s="44"/>
      <c r="D104" s="45"/>
      <c r="E104" s="44"/>
      <c r="F104" s="43"/>
      <c r="G104" s="43"/>
      <c r="H104" s="43"/>
      <c r="I104" s="46"/>
      <c r="J104" s="47"/>
      <c r="K104" s="48"/>
      <c r="L104" s="49"/>
      <c r="M104" s="49"/>
      <c r="N104" s="50"/>
      <c r="O104" s="43"/>
      <c r="P104" s="43"/>
      <c r="Q104" s="44"/>
      <c r="R104" s="35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43"/>
      <c r="B105" s="40"/>
      <c r="C105" s="44"/>
      <c r="D105" s="45"/>
      <c r="E105" s="44"/>
      <c r="F105" s="43"/>
      <c r="G105" s="43"/>
      <c r="H105" s="43"/>
      <c r="I105" s="46"/>
      <c r="J105" s="47"/>
      <c r="K105" s="48"/>
      <c r="L105" s="49"/>
      <c r="M105" s="49"/>
      <c r="N105" s="50"/>
      <c r="O105" s="43"/>
      <c r="P105" s="43"/>
      <c r="Q105" s="44"/>
      <c r="R105" s="35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43"/>
      <c r="B106" s="40"/>
      <c r="C106" s="44"/>
      <c r="D106" s="45"/>
      <c r="E106" s="44"/>
      <c r="F106" s="43"/>
      <c r="G106" s="43"/>
      <c r="H106" s="43"/>
      <c r="I106" s="46"/>
      <c r="J106" s="47"/>
      <c r="K106" s="48"/>
      <c r="L106" s="49"/>
      <c r="M106" s="49"/>
      <c r="N106" s="50"/>
      <c r="O106" s="43"/>
      <c r="P106" s="43"/>
      <c r="Q106" s="44"/>
      <c r="R106" s="35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43"/>
      <c r="B107" s="40"/>
      <c r="C107" s="44"/>
      <c r="D107" s="45"/>
      <c r="E107" s="44"/>
      <c r="F107" s="43"/>
      <c r="G107" s="43"/>
      <c r="H107" s="43"/>
      <c r="I107" s="46"/>
      <c r="J107" s="47"/>
      <c r="K107" s="48"/>
      <c r="L107" s="49"/>
      <c r="M107" s="49"/>
      <c r="N107" s="50"/>
      <c r="O107" s="43"/>
      <c r="P107" s="43"/>
      <c r="Q107" s="44"/>
      <c r="R107" s="35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43"/>
      <c r="B108" s="40"/>
      <c r="C108" s="44"/>
      <c r="D108" s="45"/>
      <c r="E108" s="44"/>
      <c r="F108" s="43"/>
      <c r="G108" s="43"/>
      <c r="H108" s="43"/>
      <c r="I108" s="46"/>
      <c r="J108" s="47"/>
      <c r="K108" s="48"/>
      <c r="L108" s="49"/>
      <c r="M108" s="49"/>
      <c r="N108" s="50"/>
      <c r="O108" s="43"/>
      <c r="P108" s="43"/>
      <c r="Q108" s="44"/>
      <c r="R108" s="35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43"/>
      <c r="B109" s="40"/>
      <c r="C109" s="44"/>
      <c r="D109" s="45"/>
      <c r="E109" s="44"/>
      <c r="F109" s="43"/>
      <c r="G109" s="43"/>
      <c r="H109" s="43"/>
      <c r="I109" s="46"/>
      <c r="J109" s="47"/>
      <c r="K109" s="48"/>
      <c r="L109" s="49"/>
      <c r="M109" s="49"/>
      <c r="N109" s="50"/>
      <c r="O109" s="43"/>
      <c r="P109" s="43"/>
      <c r="Q109" s="44"/>
      <c r="R109" s="35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43"/>
      <c r="B110" s="40"/>
      <c r="C110" s="44"/>
      <c r="D110" s="45"/>
      <c r="E110" s="44"/>
      <c r="F110" s="43"/>
      <c r="G110" s="43"/>
      <c r="H110" s="43"/>
      <c r="I110" s="46"/>
      <c r="J110" s="47"/>
      <c r="K110" s="48"/>
      <c r="L110" s="49"/>
      <c r="M110" s="49"/>
      <c r="N110" s="50"/>
      <c r="O110" s="43"/>
      <c r="P110" s="43"/>
      <c r="Q110" s="44"/>
      <c r="R110" s="35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43"/>
      <c r="B111" s="40"/>
      <c r="C111" s="44"/>
      <c r="D111" s="45"/>
      <c r="E111" s="44"/>
      <c r="F111" s="43"/>
      <c r="G111" s="43"/>
      <c r="H111" s="43"/>
      <c r="I111" s="46"/>
      <c r="J111" s="47"/>
      <c r="K111" s="48"/>
      <c r="L111" s="49"/>
      <c r="M111" s="49"/>
      <c r="N111" s="50"/>
      <c r="O111" s="43"/>
      <c r="P111" s="43"/>
      <c r="Q111" s="44"/>
      <c r="R111" s="35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43"/>
      <c r="B112" s="40"/>
      <c r="C112" s="44"/>
      <c r="D112" s="45"/>
      <c r="E112" s="44"/>
      <c r="F112" s="43"/>
      <c r="G112" s="43"/>
      <c r="H112" s="43"/>
      <c r="I112" s="46"/>
      <c r="J112" s="47"/>
      <c r="K112" s="48"/>
      <c r="L112" s="49"/>
      <c r="M112" s="49"/>
      <c r="N112" s="50"/>
      <c r="O112" s="43"/>
      <c r="P112" s="43"/>
      <c r="Q112" s="44"/>
      <c r="R112" s="35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43"/>
      <c r="B113" s="40"/>
      <c r="C113" s="44"/>
      <c r="D113" s="45"/>
      <c r="E113" s="44"/>
      <c r="F113" s="43"/>
      <c r="G113" s="43"/>
      <c r="H113" s="43"/>
      <c r="I113" s="46"/>
      <c r="J113" s="47"/>
      <c r="K113" s="48"/>
      <c r="L113" s="49"/>
      <c r="M113" s="49"/>
      <c r="N113" s="50"/>
      <c r="O113" s="43"/>
      <c r="P113" s="43"/>
      <c r="Q113" s="44"/>
      <c r="R113" s="35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43"/>
      <c r="B114" s="40"/>
      <c r="C114" s="44"/>
      <c r="D114" s="45"/>
      <c r="E114" s="44"/>
      <c r="F114" s="43"/>
      <c r="G114" s="43"/>
      <c r="H114" s="43"/>
      <c r="I114" s="46"/>
      <c r="J114" s="47"/>
      <c r="K114" s="48"/>
      <c r="L114" s="49"/>
      <c r="M114" s="49"/>
      <c r="N114" s="50"/>
      <c r="O114" s="43"/>
      <c r="P114" s="43"/>
      <c r="Q114" s="44"/>
      <c r="R114" s="35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43"/>
      <c r="B115" s="40"/>
      <c r="C115" s="44"/>
      <c r="D115" s="45"/>
      <c r="E115" s="44"/>
      <c r="F115" s="43"/>
      <c r="G115" s="43"/>
      <c r="H115" s="43"/>
      <c r="I115" s="46"/>
      <c r="J115" s="47"/>
      <c r="K115" s="48"/>
      <c r="L115" s="49"/>
      <c r="M115" s="49"/>
      <c r="N115" s="50"/>
      <c r="O115" s="43"/>
      <c r="P115" s="43"/>
      <c r="Q115" s="44"/>
      <c r="R115" s="35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43"/>
      <c r="B116" s="40"/>
      <c r="C116" s="44"/>
      <c r="D116" s="45"/>
      <c r="E116" s="44"/>
      <c r="F116" s="43"/>
      <c r="G116" s="43"/>
      <c r="H116" s="43"/>
      <c r="I116" s="46"/>
      <c r="J116" s="47"/>
      <c r="K116" s="48"/>
      <c r="L116" s="49"/>
      <c r="M116" s="49"/>
      <c r="N116" s="50"/>
      <c r="O116" s="43"/>
      <c r="P116" s="43"/>
      <c r="Q116" s="44"/>
      <c r="R116" s="35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43"/>
      <c r="B117" s="40"/>
      <c r="C117" s="44"/>
      <c r="D117" s="45"/>
      <c r="E117" s="44"/>
      <c r="F117" s="43"/>
      <c r="G117" s="43"/>
      <c r="H117" s="43"/>
      <c r="I117" s="46"/>
      <c r="J117" s="47"/>
      <c r="K117" s="48"/>
      <c r="L117" s="49"/>
      <c r="M117" s="49"/>
      <c r="N117" s="50"/>
      <c r="O117" s="43"/>
      <c r="P117" s="43"/>
      <c r="Q117" s="44"/>
      <c r="R117" s="35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43"/>
      <c r="B118" s="40"/>
      <c r="C118" s="44"/>
      <c r="D118" s="45"/>
      <c r="E118" s="44"/>
      <c r="F118" s="43"/>
      <c r="G118" s="43"/>
      <c r="H118" s="43"/>
      <c r="I118" s="46"/>
      <c r="J118" s="47"/>
      <c r="K118" s="48"/>
      <c r="L118" s="49"/>
      <c r="M118" s="49"/>
      <c r="N118" s="50"/>
      <c r="O118" s="43"/>
      <c r="P118" s="43"/>
      <c r="Q118" s="44"/>
      <c r="R118" s="35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43"/>
      <c r="B119" s="40"/>
      <c r="C119" s="44"/>
      <c r="D119" s="45"/>
      <c r="E119" s="44"/>
      <c r="F119" s="43"/>
      <c r="G119" s="43"/>
      <c r="H119" s="43"/>
      <c r="I119" s="46"/>
      <c r="J119" s="47"/>
      <c r="K119" s="48"/>
      <c r="L119" s="49"/>
      <c r="M119" s="49"/>
      <c r="N119" s="50"/>
      <c r="O119" s="43"/>
      <c r="P119" s="43"/>
      <c r="Q119" s="44"/>
      <c r="R119" s="35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43"/>
      <c r="B120" s="40"/>
      <c r="C120" s="44"/>
      <c r="D120" s="45"/>
      <c r="E120" s="44"/>
      <c r="F120" s="43"/>
      <c r="G120" s="43"/>
      <c r="H120" s="43"/>
      <c r="I120" s="46"/>
      <c r="J120" s="47"/>
      <c r="K120" s="48"/>
      <c r="L120" s="49"/>
      <c r="M120" s="49"/>
      <c r="N120" s="50"/>
      <c r="O120" s="43"/>
      <c r="P120" s="43"/>
      <c r="Q120" s="44"/>
      <c r="R120" s="35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43"/>
      <c r="B121" s="40"/>
      <c r="C121" s="44"/>
      <c r="D121" s="45"/>
      <c r="E121" s="44"/>
      <c r="F121" s="43"/>
      <c r="G121" s="43"/>
      <c r="H121" s="43"/>
      <c r="I121" s="46"/>
      <c r="J121" s="47"/>
      <c r="K121" s="48"/>
      <c r="L121" s="49"/>
      <c r="M121" s="49"/>
      <c r="N121" s="50"/>
      <c r="O121" s="43"/>
      <c r="P121" s="43"/>
      <c r="Q121" s="44"/>
      <c r="R121" s="35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43"/>
      <c r="B122" s="40"/>
      <c r="C122" s="44"/>
      <c r="D122" s="45"/>
      <c r="E122" s="44"/>
      <c r="F122" s="43"/>
      <c r="G122" s="43"/>
      <c r="H122" s="43"/>
      <c r="I122" s="46"/>
      <c r="J122" s="47"/>
      <c r="K122" s="48"/>
      <c r="L122" s="49"/>
      <c r="M122" s="49"/>
      <c r="N122" s="50"/>
      <c r="O122" s="43"/>
      <c r="P122" s="43"/>
      <c r="Q122" s="44"/>
      <c r="R122" s="35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43"/>
      <c r="B123" s="40"/>
      <c r="C123" s="44"/>
      <c r="D123" s="45"/>
      <c r="E123" s="44"/>
      <c r="F123" s="43"/>
      <c r="G123" s="43"/>
      <c r="H123" s="43"/>
      <c r="I123" s="46"/>
      <c r="J123" s="47"/>
      <c r="K123" s="48"/>
      <c r="L123" s="49"/>
      <c r="M123" s="49"/>
      <c r="N123" s="50"/>
      <c r="O123" s="43"/>
      <c r="P123" s="43"/>
      <c r="Q123" s="44"/>
      <c r="R123" s="35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43"/>
      <c r="B124" s="40"/>
      <c r="C124" s="44"/>
      <c r="D124" s="45"/>
      <c r="E124" s="44"/>
      <c r="F124" s="43"/>
      <c r="G124" s="43"/>
      <c r="H124" s="43"/>
      <c r="I124" s="46"/>
      <c r="J124" s="47"/>
      <c r="K124" s="48"/>
      <c r="L124" s="49"/>
      <c r="M124" s="49"/>
      <c r="N124" s="50"/>
      <c r="O124" s="43"/>
      <c r="P124" s="43"/>
      <c r="Q124" s="44"/>
      <c r="R124" s="35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43"/>
      <c r="B125" s="40"/>
      <c r="C125" s="44"/>
      <c r="D125" s="45"/>
      <c r="E125" s="44"/>
      <c r="F125" s="43"/>
      <c r="G125" s="43"/>
      <c r="H125" s="43"/>
      <c r="I125" s="46"/>
      <c r="J125" s="47"/>
      <c r="K125" s="48"/>
      <c r="L125" s="49"/>
      <c r="M125" s="49"/>
      <c r="N125" s="50"/>
      <c r="O125" s="43"/>
      <c r="P125" s="43"/>
      <c r="Q125" s="44"/>
      <c r="R125" s="35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43"/>
      <c r="B126" s="40"/>
      <c r="C126" s="44"/>
      <c r="D126" s="45"/>
      <c r="E126" s="44"/>
      <c r="F126" s="43"/>
      <c r="G126" s="43"/>
      <c r="H126" s="43"/>
      <c r="I126" s="46"/>
      <c r="J126" s="47"/>
      <c r="K126" s="48"/>
      <c r="L126" s="49"/>
      <c r="M126" s="49"/>
      <c r="N126" s="50"/>
      <c r="O126" s="43"/>
      <c r="P126" s="43"/>
      <c r="Q126" s="44"/>
      <c r="R126" s="35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43"/>
      <c r="B127" s="40"/>
      <c r="C127" s="44"/>
      <c r="D127" s="45"/>
      <c r="E127" s="44"/>
      <c r="F127" s="43"/>
      <c r="G127" s="43"/>
      <c r="H127" s="43"/>
      <c r="I127" s="46"/>
      <c r="J127" s="47"/>
      <c r="K127" s="48"/>
      <c r="L127" s="49"/>
      <c r="M127" s="49"/>
      <c r="N127" s="50"/>
      <c r="O127" s="43"/>
      <c r="P127" s="43"/>
      <c r="Q127" s="44"/>
      <c r="R127" s="35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43"/>
      <c r="B128" s="40"/>
      <c r="C128" s="44"/>
      <c r="D128" s="45"/>
      <c r="E128" s="44"/>
      <c r="F128" s="43"/>
      <c r="G128" s="43"/>
      <c r="H128" s="43"/>
      <c r="I128" s="46"/>
      <c r="J128" s="47"/>
      <c r="K128" s="48"/>
      <c r="L128" s="49"/>
      <c r="M128" s="49"/>
      <c r="N128" s="50"/>
      <c r="O128" s="43"/>
      <c r="P128" s="43"/>
      <c r="Q128" s="44"/>
      <c r="R128" s="35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43"/>
      <c r="B129" s="40"/>
      <c r="C129" s="44"/>
      <c r="D129" s="45"/>
      <c r="E129" s="44"/>
      <c r="F129" s="43"/>
      <c r="G129" s="43"/>
      <c r="H129" s="43"/>
      <c r="I129" s="46"/>
      <c r="J129" s="47"/>
      <c r="K129" s="48"/>
      <c r="L129" s="49"/>
      <c r="M129" s="49"/>
      <c r="N129" s="50"/>
      <c r="O129" s="43"/>
      <c r="P129" s="43"/>
      <c r="Q129" s="44"/>
      <c r="R129" s="35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43"/>
      <c r="B130" s="40"/>
      <c r="C130" s="44"/>
      <c r="D130" s="45"/>
      <c r="E130" s="44"/>
      <c r="F130" s="43"/>
      <c r="G130" s="43"/>
      <c r="H130" s="43"/>
      <c r="I130" s="46"/>
      <c r="J130" s="47"/>
      <c r="K130" s="48"/>
      <c r="L130" s="49"/>
      <c r="M130" s="49"/>
      <c r="N130" s="50"/>
      <c r="O130" s="43"/>
      <c r="P130" s="43"/>
      <c r="Q130" s="44"/>
      <c r="R130" s="35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43"/>
      <c r="B131" s="40"/>
      <c r="C131" s="44"/>
      <c r="D131" s="45"/>
      <c r="E131" s="44"/>
      <c r="F131" s="43"/>
      <c r="G131" s="43"/>
      <c r="H131" s="43"/>
      <c r="I131" s="46"/>
      <c r="J131" s="47"/>
      <c r="K131" s="48"/>
      <c r="L131" s="49"/>
      <c r="M131" s="49"/>
      <c r="N131" s="50"/>
      <c r="O131" s="43"/>
      <c r="P131" s="43"/>
      <c r="Q131" s="44"/>
      <c r="R131" s="35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43"/>
      <c r="B132" s="40"/>
      <c r="C132" s="44"/>
      <c r="D132" s="45"/>
      <c r="E132" s="44"/>
      <c r="F132" s="43"/>
      <c r="G132" s="43"/>
      <c r="H132" s="43"/>
      <c r="I132" s="46"/>
      <c r="J132" s="47"/>
      <c r="K132" s="48"/>
      <c r="L132" s="49"/>
      <c r="M132" s="49"/>
      <c r="N132" s="50"/>
      <c r="O132" s="43"/>
      <c r="P132" s="43"/>
      <c r="Q132" s="44"/>
      <c r="R132" s="35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43"/>
      <c r="B133" s="40"/>
      <c r="C133" s="44"/>
      <c r="D133" s="45"/>
      <c r="E133" s="44"/>
      <c r="F133" s="43"/>
      <c r="G133" s="43"/>
      <c r="H133" s="43"/>
      <c r="I133" s="46"/>
      <c r="J133" s="47"/>
      <c r="K133" s="48"/>
      <c r="L133" s="49"/>
      <c r="M133" s="49"/>
      <c r="N133" s="50"/>
      <c r="O133" s="43"/>
      <c r="P133" s="43"/>
      <c r="Q133" s="44"/>
      <c r="R133" s="35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43"/>
      <c r="B134" s="40"/>
      <c r="C134" s="44"/>
      <c r="D134" s="45"/>
      <c r="E134" s="44"/>
      <c r="F134" s="43"/>
      <c r="G134" s="43"/>
      <c r="H134" s="43"/>
      <c r="I134" s="46"/>
      <c r="J134" s="47"/>
      <c r="K134" s="48"/>
      <c r="L134" s="49"/>
      <c r="M134" s="49"/>
      <c r="N134" s="50"/>
      <c r="O134" s="43"/>
      <c r="P134" s="43"/>
      <c r="Q134" s="44"/>
      <c r="R134" s="35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43"/>
      <c r="B135" s="40"/>
      <c r="C135" s="44"/>
      <c r="D135" s="45"/>
      <c r="E135" s="44"/>
      <c r="F135" s="43"/>
      <c r="G135" s="43"/>
      <c r="H135" s="43"/>
      <c r="I135" s="46"/>
      <c r="J135" s="47"/>
      <c r="K135" s="48"/>
      <c r="L135" s="49"/>
      <c r="M135" s="49"/>
      <c r="N135" s="50"/>
      <c r="O135" s="43"/>
      <c r="P135" s="43"/>
      <c r="Q135" s="44"/>
      <c r="R135" s="35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43"/>
      <c r="B136" s="40"/>
      <c r="C136" s="44"/>
      <c r="D136" s="45"/>
      <c r="E136" s="44"/>
      <c r="F136" s="43"/>
      <c r="G136" s="43"/>
      <c r="H136" s="43"/>
      <c r="I136" s="46"/>
      <c r="J136" s="47"/>
      <c r="K136" s="48"/>
      <c r="L136" s="49"/>
      <c r="M136" s="49"/>
      <c r="N136" s="50"/>
      <c r="O136" s="43"/>
      <c r="P136" s="43"/>
      <c r="Q136" s="44"/>
      <c r="R136" s="35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43"/>
      <c r="B137" s="40"/>
      <c r="C137" s="44"/>
      <c r="D137" s="45"/>
      <c r="E137" s="44"/>
      <c r="F137" s="43"/>
      <c r="G137" s="43"/>
      <c r="H137" s="43"/>
      <c r="I137" s="46"/>
      <c r="J137" s="47"/>
      <c r="K137" s="48"/>
      <c r="L137" s="49"/>
      <c r="M137" s="49"/>
      <c r="N137" s="50"/>
      <c r="O137" s="43"/>
      <c r="P137" s="43"/>
      <c r="Q137" s="44"/>
      <c r="R137" s="35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43"/>
      <c r="B138" s="40"/>
      <c r="C138" s="44"/>
      <c r="D138" s="45"/>
      <c r="E138" s="44"/>
      <c r="F138" s="43"/>
      <c r="G138" s="43"/>
      <c r="H138" s="43"/>
      <c r="I138" s="46"/>
      <c r="J138" s="47"/>
      <c r="K138" s="48"/>
      <c r="L138" s="49"/>
      <c r="M138" s="49"/>
      <c r="N138" s="50"/>
      <c r="O138" s="43"/>
      <c r="P138" s="43"/>
      <c r="Q138" s="44"/>
      <c r="R138" s="35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43"/>
      <c r="B139" s="40"/>
      <c r="C139" s="44"/>
      <c r="D139" s="45"/>
      <c r="E139" s="44"/>
      <c r="F139" s="43"/>
      <c r="G139" s="43"/>
      <c r="H139" s="43"/>
      <c r="I139" s="46"/>
      <c r="J139" s="47"/>
      <c r="K139" s="48"/>
      <c r="L139" s="49"/>
      <c r="M139" s="49"/>
      <c r="N139" s="50"/>
      <c r="O139" s="43"/>
      <c r="P139" s="43"/>
      <c r="Q139" s="44"/>
      <c r="R139" s="35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43"/>
      <c r="B140" s="40"/>
      <c r="C140" s="44"/>
      <c r="D140" s="45"/>
      <c r="E140" s="44"/>
      <c r="F140" s="43"/>
      <c r="G140" s="43"/>
      <c r="H140" s="43"/>
      <c r="I140" s="46"/>
      <c r="J140" s="47"/>
      <c r="K140" s="48"/>
      <c r="L140" s="49"/>
      <c r="M140" s="49"/>
      <c r="N140" s="50"/>
      <c r="O140" s="43"/>
      <c r="P140" s="43"/>
      <c r="Q140" s="44"/>
      <c r="R140" s="35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43"/>
      <c r="B141" s="40"/>
      <c r="C141" s="44"/>
      <c r="D141" s="45"/>
      <c r="E141" s="44"/>
      <c r="F141" s="43"/>
      <c r="G141" s="43"/>
      <c r="H141" s="43"/>
      <c r="I141" s="46"/>
      <c r="J141" s="47"/>
      <c r="K141" s="48"/>
      <c r="L141" s="49"/>
      <c r="M141" s="49"/>
      <c r="N141" s="50"/>
      <c r="O141" s="43"/>
      <c r="P141" s="43"/>
      <c r="Q141" s="44"/>
      <c r="R141" s="35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43"/>
      <c r="B142" s="40"/>
      <c r="C142" s="44"/>
      <c r="D142" s="45"/>
      <c r="E142" s="44"/>
      <c r="F142" s="43"/>
      <c r="G142" s="43"/>
      <c r="H142" s="43"/>
      <c r="I142" s="46"/>
      <c r="J142" s="47"/>
      <c r="K142" s="48"/>
      <c r="L142" s="49"/>
      <c r="M142" s="49"/>
      <c r="N142" s="50"/>
      <c r="O142" s="43"/>
      <c r="P142" s="43"/>
      <c r="Q142" s="44"/>
      <c r="R142" s="35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43"/>
      <c r="B143" s="40"/>
      <c r="C143" s="44"/>
      <c r="D143" s="45"/>
      <c r="E143" s="44"/>
      <c r="F143" s="43"/>
      <c r="G143" s="43"/>
      <c r="H143" s="43"/>
      <c r="I143" s="46"/>
      <c r="J143" s="47"/>
      <c r="K143" s="48"/>
      <c r="L143" s="49"/>
      <c r="M143" s="49"/>
      <c r="N143" s="50"/>
      <c r="O143" s="43"/>
      <c r="P143" s="43"/>
      <c r="Q143" s="44"/>
      <c r="R143" s="35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43"/>
      <c r="B144" s="40"/>
      <c r="C144" s="44"/>
      <c r="D144" s="45"/>
      <c r="E144" s="44"/>
      <c r="F144" s="43"/>
      <c r="G144" s="43"/>
      <c r="H144" s="43"/>
      <c r="I144" s="46"/>
      <c r="J144" s="47"/>
      <c r="K144" s="48"/>
      <c r="L144" s="49"/>
      <c r="M144" s="49"/>
      <c r="N144" s="50"/>
      <c r="O144" s="43"/>
      <c r="P144" s="43"/>
      <c r="Q144" s="44"/>
      <c r="R144" s="35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43"/>
      <c r="B145" s="40"/>
      <c r="C145" s="44"/>
      <c r="D145" s="45"/>
      <c r="E145" s="44"/>
      <c r="F145" s="43"/>
      <c r="G145" s="43"/>
      <c r="H145" s="43"/>
      <c r="I145" s="46"/>
      <c r="J145" s="47"/>
      <c r="K145" s="48"/>
      <c r="L145" s="49"/>
      <c r="M145" s="49"/>
      <c r="N145" s="50"/>
      <c r="O145" s="43"/>
      <c r="P145" s="43"/>
      <c r="Q145" s="44"/>
      <c r="R145" s="35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43"/>
      <c r="B146" s="40"/>
      <c r="C146" s="44"/>
      <c r="D146" s="45"/>
      <c r="E146" s="44"/>
      <c r="F146" s="43"/>
      <c r="G146" s="43"/>
      <c r="H146" s="43"/>
      <c r="I146" s="46"/>
      <c r="J146" s="47"/>
      <c r="K146" s="48"/>
      <c r="L146" s="49"/>
      <c r="M146" s="49"/>
      <c r="N146" s="50"/>
      <c r="O146" s="43"/>
      <c r="P146" s="43"/>
      <c r="Q146" s="44"/>
      <c r="R146" s="35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43"/>
      <c r="B147" s="40"/>
      <c r="C147" s="44"/>
      <c r="D147" s="45"/>
      <c r="E147" s="44"/>
      <c r="F147" s="43"/>
      <c r="G147" s="43"/>
      <c r="H147" s="43"/>
      <c r="I147" s="46"/>
      <c r="J147" s="47"/>
      <c r="K147" s="48"/>
      <c r="L147" s="49"/>
      <c r="M147" s="49"/>
      <c r="N147" s="50"/>
      <c r="O147" s="43"/>
      <c r="P147" s="43"/>
      <c r="Q147" s="44"/>
      <c r="R147" s="35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43"/>
      <c r="B148" s="40"/>
      <c r="C148" s="44"/>
      <c r="D148" s="45"/>
      <c r="E148" s="44"/>
      <c r="F148" s="43"/>
      <c r="G148" s="43"/>
      <c r="H148" s="43"/>
      <c r="I148" s="46"/>
      <c r="J148" s="47"/>
      <c r="K148" s="48"/>
      <c r="L148" s="49"/>
      <c r="M148" s="49"/>
      <c r="N148" s="50"/>
      <c r="O148" s="43"/>
      <c r="P148" s="43"/>
      <c r="Q148" s="44"/>
      <c r="R148" s="35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43"/>
      <c r="B149" s="40"/>
      <c r="C149" s="44"/>
      <c r="D149" s="45"/>
      <c r="E149" s="44"/>
      <c r="F149" s="43"/>
      <c r="G149" s="43"/>
      <c r="H149" s="43"/>
      <c r="I149" s="46"/>
      <c r="J149" s="47"/>
      <c r="K149" s="48"/>
      <c r="L149" s="49"/>
      <c r="M149" s="49"/>
      <c r="N149" s="50"/>
      <c r="O149" s="43"/>
      <c r="P149" s="43"/>
      <c r="Q149" s="44"/>
      <c r="R149" s="35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43"/>
      <c r="B150" s="40"/>
      <c r="C150" s="44"/>
      <c r="D150" s="45"/>
      <c r="E150" s="44"/>
      <c r="F150" s="43"/>
      <c r="G150" s="43"/>
      <c r="H150" s="43"/>
      <c r="I150" s="46"/>
      <c r="J150" s="47"/>
      <c r="K150" s="48"/>
      <c r="L150" s="49"/>
      <c r="M150" s="49"/>
      <c r="N150" s="50"/>
      <c r="O150" s="43"/>
      <c r="P150" s="43"/>
      <c r="Q150" s="44"/>
      <c r="R150" s="35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43"/>
      <c r="B151" s="40"/>
      <c r="C151" s="44"/>
      <c r="D151" s="45"/>
      <c r="E151" s="44"/>
      <c r="F151" s="43"/>
      <c r="G151" s="43"/>
      <c r="H151" s="43"/>
      <c r="I151" s="46"/>
      <c r="J151" s="47"/>
      <c r="K151" s="48"/>
      <c r="L151" s="49"/>
      <c r="M151" s="49"/>
      <c r="N151" s="50"/>
      <c r="O151" s="43"/>
      <c r="P151" s="43"/>
      <c r="Q151" s="44"/>
      <c r="R151" s="35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43"/>
      <c r="B152" s="40"/>
      <c r="C152" s="44"/>
      <c r="D152" s="45"/>
      <c r="E152" s="44"/>
      <c r="F152" s="43"/>
      <c r="G152" s="43"/>
      <c r="H152" s="43"/>
      <c r="I152" s="46"/>
      <c r="J152" s="47"/>
      <c r="K152" s="48"/>
      <c r="L152" s="49"/>
      <c r="M152" s="49"/>
      <c r="N152" s="50"/>
      <c r="O152" s="43"/>
      <c r="P152" s="43"/>
      <c r="Q152" s="44"/>
      <c r="R152" s="35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43"/>
      <c r="B153" s="40"/>
      <c r="C153" s="44"/>
      <c r="D153" s="45"/>
      <c r="E153" s="44"/>
      <c r="F153" s="43"/>
      <c r="G153" s="43"/>
      <c r="H153" s="43"/>
      <c r="I153" s="46"/>
      <c r="J153" s="47"/>
      <c r="K153" s="48"/>
      <c r="L153" s="49"/>
      <c r="M153" s="49"/>
      <c r="N153" s="50"/>
      <c r="O153" s="43"/>
      <c r="P153" s="43"/>
      <c r="Q153" s="44"/>
      <c r="R153" s="35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43"/>
      <c r="B154" s="40"/>
      <c r="C154" s="44"/>
      <c r="D154" s="45"/>
      <c r="E154" s="44"/>
      <c r="F154" s="43"/>
      <c r="G154" s="43"/>
      <c r="H154" s="43"/>
      <c r="I154" s="46"/>
      <c r="J154" s="47"/>
      <c r="K154" s="48"/>
      <c r="L154" s="49"/>
      <c r="M154" s="49"/>
      <c r="N154" s="50"/>
      <c r="O154" s="43"/>
      <c r="P154" s="43"/>
      <c r="Q154" s="44"/>
      <c r="R154" s="35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43"/>
      <c r="B155" s="40"/>
      <c r="C155" s="44"/>
      <c r="D155" s="45"/>
      <c r="E155" s="44"/>
      <c r="F155" s="43"/>
      <c r="G155" s="43"/>
      <c r="H155" s="43"/>
      <c r="I155" s="46"/>
      <c r="J155" s="47"/>
      <c r="K155" s="48"/>
      <c r="L155" s="49"/>
      <c r="M155" s="49"/>
      <c r="N155" s="50"/>
      <c r="O155" s="43"/>
      <c r="P155" s="43"/>
      <c r="Q155" s="44"/>
      <c r="R155" s="35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43"/>
      <c r="B156" s="40"/>
      <c r="C156" s="44"/>
      <c r="D156" s="45"/>
      <c r="E156" s="44"/>
      <c r="F156" s="43"/>
      <c r="G156" s="43"/>
      <c r="H156" s="43"/>
      <c r="I156" s="46"/>
      <c r="J156" s="47"/>
      <c r="K156" s="48"/>
      <c r="L156" s="49"/>
      <c r="M156" s="49"/>
      <c r="N156" s="50"/>
      <c r="O156" s="43"/>
      <c r="P156" s="43"/>
      <c r="Q156" s="44"/>
      <c r="R156" s="35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43"/>
      <c r="B157" s="40"/>
      <c r="C157" s="44"/>
      <c r="D157" s="45"/>
      <c r="E157" s="44"/>
      <c r="F157" s="43"/>
      <c r="G157" s="43"/>
      <c r="H157" s="43"/>
      <c r="I157" s="46"/>
      <c r="J157" s="47"/>
      <c r="K157" s="48"/>
      <c r="L157" s="49"/>
      <c r="M157" s="49"/>
      <c r="N157" s="50"/>
      <c r="O157" s="43"/>
      <c r="P157" s="43"/>
      <c r="Q157" s="44"/>
      <c r="R157" s="35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43"/>
      <c r="B158" s="40"/>
      <c r="C158" s="44"/>
      <c r="D158" s="45"/>
      <c r="E158" s="44"/>
      <c r="F158" s="43"/>
      <c r="G158" s="43"/>
      <c r="H158" s="43"/>
      <c r="I158" s="46"/>
      <c r="J158" s="47"/>
      <c r="K158" s="48"/>
      <c r="L158" s="49"/>
      <c r="M158" s="49"/>
      <c r="N158" s="50"/>
      <c r="O158" s="43"/>
      <c r="P158" s="43"/>
      <c r="Q158" s="44"/>
      <c r="R158" s="35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43"/>
      <c r="B159" s="40"/>
      <c r="C159" s="44"/>
      <c r="D159" s="45"/>
      <c r="E159" s="44"/>
      <c r="F159" s="43"/>
      <c r="G159" s="43"/>
      <c r="H159" s="43"/>
      <c r="I159" s="46"/>
      <c r="J159" s="47"/>
      <c r="K159" s="48"/>
      <c r="L159" s="49"/>
      <c r="M159" s="49"/>
      <c r="N159" s="50"/>
      <c r="O159" s="43"/>
      <c r="P159" s="43"/>
      <c r="Q159" s="44"/>
      <c r="R159" s="35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43"/>
      <c r="B160" s="40"/>
      <c r="C160" s="44"/>
      <c r="D160" s="45"/>
      <c r="E160" s="44"/>
      <c r="F160" s="43"/>
      <c r="G160" s="43"/>
      <c r="H160" s="43"/>
      <c r="I160" s="46"/>
      <c r="J160" s="47"/>
      <c r="K160" s="48"/>
      <c r="L160" s="49"/>
      <c r="M160" s="49"/>
      <c r="N160" s="50"/>
      <c r="O160" s="43"/>
      <c r="P160" s="43"/>
      <c r="Q160" s="44"/>
      <c r="R160" s="35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43"/>
      <c r="B161" s="40"/>
      <c r="C161" s="44"/>
      <c r="D161" s="45"/>
      <c r="E161" s="44"/>
      <c r="F161" s="43"/>
      <c r="G161" s="43"/>
      <c r="H161" s="43"/>
      <c r="I161" s="46"/>
      <c r="J161" s="47"/>
      <c r="K161" s="48"/>
      <c r="L161" s="49"/>
      <c r="M161" s="49"/>
      <c r="N161" s="50"/>
      <c r="O161" s="43"/>
      <c r="P161" s="43"/>
      <c r="Q161" s="44"/>
      <c r="R161" s="35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43"/>
      <c r="B162" s="40"/>
      <c r="C162" s="44"/>
      <c r="D162" s="45"/>
      <c r="E162" s="44"/>
      <c r="F162" s="43"/>
      <c r="G162" s="43"/>
      <c r="H162" s="43"/>
      <c r="I162" s="46"/>
      <c r="J162" s="47"/>
      <c r="K162" s="48"/>
      <c r="L162" s="49"/>
      <c r="M162" s="49"/>
      <c r="N162" s="50"/>
      <c r="O162" s="43"/>
      <c r="P162" s="43"/>
      <c r="Q162" s="44"/>
      <c r="R162" s="35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43"/>
      <c r="B163" s="40"/>
      <c r="C163" s="44"/>
      <c r="D163" s="45"/>
      <c r="E163" s="44"/>
      <c r="F163" s="43"/>
      <c r="G163" s="43"/>
      <c r="H163" s="43"/>
      <c r="I163" s="46"/>
      <c r="J163" s="47"/>
      <c r="K163" s="48"/>
      <c r="L163" s="49"/>
      <c r="M163" s="49"/>
      <c r="N163" s="50"/>
      <c r="O163" s="43"/>
      <c r="P163" s="43"/>
      <c r="Q163" s="44"/>
      <c r="R163" s="35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43"/>
      <c r="B164" s="40"/>
      <c r="C164" s="44"/>
      <c r="D164" s="45"/>
      <c r="E164" s="44"/>
      <c r="F164" s="43"/>
      <c r="G164" s="43"/>
      <c r="H164" s="43"/>
      <c r="I164" s="46"/>
      <c r="J164" s="47"/>
      <c r="K164" s="48"/>
      <c r="L164" s="49"/>
      <c r="M164" s="49"/>
      <c r="N164" s="50"/>
      <c r="O164" s="43"/>
      <c r="P164" s="43"/>
      <c r="Q164" s="44"/>
      <c r="R164" s="35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43"/>
      <c r="B165" s="40"/>
      <c r="C165" s="44"/>
      <c r="D165" s="45"/>
      <c r="E165" s="44"/>
      <c r="F165" s="43"/>
      <c r="G165" s="43"/>
      <c r="H165" s="43"/>
      <c r="I165" s="46"/>
      <c r="J165" s="47"/>
      <c r="K165" s="48"/>
      <c r="L165" s="49"/>
      <c r="M165" s="49"/>
      <c r="N165" s="50"/>
      <c r="O165" s="43"/>
      <c r="P165" s="43"/>
      <c r="Q165" s="44"/>
      <c r="R165" s="35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43"/>
      <c r="B166" s="40"/>
      <c r="C166" s="44"/>
      <c r="D166" s="45"/>
      <c r="E166" s="44"/>
      <c r="F166" s="43"/>
      <c r="G166" s="43"/>
      <c r="H166" s="43"/>
      <c r="I166" s="46"/>
      <c r="J166" s="47"/>
      <c r="K166" s="48"/>
      <c r="L166" s="49"/>
      <c r="M166" s="49"/>
      <c r="N166" s="50"/>
      <c r="O166" s="43"/>
      <c r="P166" s="43"/>
      <c r="Q166" s="44"/>
      <c r="R166" s="35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43"/>
      <c r="B167" s="40"/>
      <c r="C167" s="44"/>
      <c r="D167" s="45"/>
      <c r="E167" s="44"/>
      <c r="F167" s="43"/>
      <c r="G167" s="43"/>
      <c r="H167" s="43"/>
      <c r="I167" s="46"/>
      <c r="J167" s="47"/>
      <c r="K167" s="48"/>
      <c r="L167" s="49"/>
      <c r="M167" s="49"/>
      <c r="N167" s="50"/>
      <c r="O167" s="43"/>
      <c r="P167" s="43"/>
      <c r="Q167" s="44"/>
      <c r="R167" s="35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43"/>
      <c r="B168" s="40"/>
      <c r="C168" s="44"/>
      <c r="D168" s="45"/>
      <c r="E168" s="44"/>
      <c r="F168" s="43"/>
      <c r="G168" s="43"/>
      <c r="H168" s="43"/>
      <c r="I168" s="46"/>
      <c r="J168" s="47"/>
      <c r="K168" s="48"/>
      <c r="L168" s="49"/>
      <c r="M168" s="49"/>
      <c r="N168" s="50"/>
      <c r="O168" s="43"/>
      <c r="P168" s="43"/>
      <c r="Q168" s="44"/>
      <c r="R168" s="35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43"/>
      <c r="B169" s="40"/>
      <c r="C169" s="44"/>
      <c r="D169" s="45"/>
      <c r="E169" s="44"/>
      <c r="F169" s="43"/>
      <c r="G169" s="43"/>
      <c r="H169" s="43"/>
      <c r="I169" s="46"/>
      <c r="J169" s="47"/>
      <c r="K169" s="48"/>
      <c r="L169" s="49"/>
      <c r="M169" s="49"/>
      <c r="N169" s="50"/>
      <c r="O169" s="43"/>
      <c r="P169" s="43"/>
      <c r="Q169" s="44"/>
      <c r="R169" s="35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43"/>
      <c r="B170" s="40"/>
      <c r="C170" s="44"/>
      <c r="D170" s="45"/>
      <c r="E170" s="44"/>
      <c r="F170" s="43"/>
      <c r="G170" s="43"/>
      <c r="H170" s="43"/>
      <c r="I170" s="46"/>
      <c r="J170" s="47"/>
      <c r="K170" s="48"/>
      <c r="L170" s="49"/>
      <c r="M170" s="49"/>
      <c r="N170" s="50"/>
      <c r="O170" s="43"/>
      <c r="P170" s="43"/>
      <c r="Q170" s="44"/>
      <c r="R170" s="35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43"/>
      <c r="B171" s="40"/>
      <c r="C171" s="44"/>
      <c r="D171" s="45"/>
      <c r="E171" s="44"/>
      <c r="F171" s="43"/>
      <c r="G171" s="43"/>
      <c r="H171" s="43"/>
      <c r="I171" s="46"/>
      <c r="J171" s="47"/>
      <c r="K171" s="48"/>
      <c r="L171" s="49"/>
      <c r="M171" s="49"/>
      <c r="N171" s="50"/>
      <c r="O171" s="43"/>
      <c r="P171" s="43"/>
      <c r="Q171" s="44"/>
      <c r="R171" s="35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43"/>
      <c r="B172" s="40"/>
      <c r="C172" s="44"/>
      <c r="D172" s="45"/>
      <c r="E172" s="44"/>
      <c r="F172" s="43"/>
      <c r="G172" s="43"/>
      <c r="H172" s="43"/>
      <c r="I172" s="46"/>
      <c r="J172" s="47"/>
      <c r="K172" s="48"/>
      <c r="L172" s="49"/>
      <c r="M172" s="49"/>
      <c r="N172" s="50"/>
      <c r="O172" s="43"/>
      <c r="P172" s="43"/>
      <c r="Q172" s="44"/>
      <c r="R172" s="35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43"/>
      <c r="B173" s="40"/>
      <c r="C173" s="44"/>
      <c r="D173" s="45"/>
      <c r="E173" s="44"/>
      <c r="F173" s="43"/>
      <c r="G173" s="43"/>
      <c r="H173" s="43"/>
      <c r="I173" s="46"/>
      <c r="J173" s="47"/>
      <c r="K173" s="48"/>
      <c r="L173" s="49"/>
      <c r="M173" s="49"/>
      <c r="N173" s="50"/>
      <c r="O173" s="43"/>
      <c r="P173" s="43"/>
      <c r="Q173" s="44"/>
      <c r="R173" s="35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43"/>
      <c r="B174" s="40"/>
      <c r="C174" s="44"/>
      <c r="D174" s="45"/>
      <c r="E174" s="44"/>
      <c r="F174" s="43"/>
      <c r="G174" s="43"/>
      <c r="H174" s="43"/>
      <c r="I174" s="46"/>
      <c r="J174" s="47"/>
      <c r="K174" s="48"/>
      <c r="L174" s="49"/>
      <c r="M174" s="49"/>
      <c r="N174" s="50"/>
      <c r="O174" s="43"/>
      <c r="P174" s="43"/>
      <c r="Q174" s="44"/>
      <c r="R174" s="35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43"/>
      <c r="B175" s="40"/>
      <c r="C175" s="44"/>
      <c r="D175" s="45"/>
      <c r="E175" s="44"/>
      <c r="F175" s="43"/>
      <c r="G175" s="43"/>
      <c r="H175" s="43"/>
      <c r="I175" s="46"/>
      <c r="J175" s="47"/>
      <c r="K175" s="48"/>
      <c r="L175" s="49"/>
      <c r="M175" s="49"/>
      <c r="N175" s="50"/>
      <c r="O175" s="43"/>
      <c r="P175" s="43"/>
      <c r="Q175" s="44"/>
      <c r="R175" s="35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43"/>
      <c r="B176" s="40"/>
      <c r="C176" s="44"/>
      <c r="D176" s="45"/>
      <c r="E176" s="44"/>
      <c r="F176" s="43"/>
      <c r="G176" s="43"/>
      <c r="H176" s="43"/>
      <c r="I176" s="46"/>
      <c r="J176" s="47"/>
      <c r="K176" s="48"/>
      <c r="L176" s="49"/>
      <c r="M176" s="49"/>
      <c r="N176" s="50"/>
      <c r="O176" s="43"/>
      <c r="P176" s="43"/>
      <c r="Q176" s="44"/>
      <c r="R176" s="35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43"/>
      <c r="B177" s="40"/>
      <c r="C177" s="44"/>
      <c r="D177" s="45"/>
      <c r="E177" s="44"/>
      <c r="F177" s="43"/>
      <c r="G177" s="43"/>
      <c r="H177" s="43"/>
      <c r="I177" s="46"/>
      <c r="J177" s="47"/>
      <c r="K177" s="48"/>
      <c r="L177" s="49"/>
      <c r="M177" s="49"/>
      <c r="N177" s="50"/>
      <c r="O177" s="43"/>
      <c r="P177" s="43"/>
      <c r="Q177" s="44"/>
      <c r="R177" s="35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43"/>
      <c r="B178" s="40"/>
      <c r="C178" s="44"/>
      <c r="D178" s="45"/>
      <c r="E178" s="44"/>
      <c r="F178" s="43"/>
      <c r="G178" s="43"/>
      <c r="H178" s="43"/>
      <c r="I178" s="46"/>
      <c r="J178" s="47"/>
      <c r="K178" s="48"/>
      <c r="L178" s="49"/>
      <c r="M178" s="49"/>
      <c r="N178" s="50"/>
      <c r="O178" s="43"/>
      <c r="P178" s="43"/>
      <c r="Q178" s="44"/>
      <c r="R178" s="35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43"/>
      <c r="B179" s="40"/>
      <c r="C179" s="44"/>
      <c r="D179" s="45"/>
      <c r="E179" s="44"/>
      <c r="F179" s="43"/>
      <c r="G179" s="43"/>
      <c r="H179" s="43"/>
      <c r="I179" s="46"/>
      <c r="J179" s="47"/>
      <c r="K179" s="48"/>
      <c r="L179" s="49"/>
      <c r="M179" s="49"/>
      <c r="N179" s="50"/>
      <c r="O179" s="43"/>
      <c r="P179" s="43"/>
      <c r="Q179" s="44"/>
      <c r="R179" s="35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43"/>
      <c r="B180" s="40"/>
      <c r="C180" s="44"/>
      <c r="D180" s="45"/>
      <c r="E180" s="44"/>
      <c r="F180" s="43"/>
      <c r="G180" s="43"/>
      <c r="H180" s="43"/>
      <c r="I180" s="46"/>
      <c r="J180" s="47"/>
      <c r="K180" s="48"/>
      <c r="L180" s="49"/>
      <c r="M180" s="49"/>
      <c r="N180" s="50"/>
      <c r="O180" s="43"/>
      <c r="P180" s="43"/>
      <c r="Q180" s="44"/>
      <c r="R180" s="35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43"/>
      <c r="B181" s="40"/>
      <c r="C181" s="44"/>
      <c r="D181" s="45"/>
      <c r="E181" s="44"/>
      <c r="F181" s="43"/>
      <c r="G181" s="43"/>
      <c r="H181" s="43"/>
      <c r="I181" s="46"/>
      <c r="J181" s="47"/>
      <c r="K181" s="48"/>
      <c r="L181" s="49"/>
      <c r="M181" s="49"/>
      <c r="N181" s="50"/>
      <c r="O181" s="43"/>
      <c r="P181" s="43"/>
      <c r="Q181" s="44"/>
      <c r="R181" s="35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43"/>
      <c r="B182" s="40"/>
      <c r="C182" s="44"/>
      <c r="D182" s="45"/>
      <c r="E182" s="44"/>
      <c r="F182" s="43"/>
      <c r="G182" s="43"/>
      <c r="H182" s="43"/>
      <c r="I182" s="46"/>
      <c r="J182" s="47"/>
      <c r="K182" s="48"/>
      <c r="L182" s="49"/>
      <c r="M182" s="49"/>
      <c r="N182" s="50"/>
      <c r="O182" s="43"/>
      <c r="P182" s="43"/>
      <c r="Q182" s="44"/>
      <c r="R182" s="35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43"/>
      <c r="B183" s="40"/>
      <c r="C183" s="44"/>
      <c r="D183" s="45"/>
      <c r="E183" s="44"/>
      <c r="F183" s="43"/>
      <c r="G183" s="43"/>
      <c r="H183" s="43"/>
      <c r="I183" s="46"/>
      <c r="J183" s="47"/>
      <c r="K183" s="48"/>
      <c r="L183" s="49"/>
      <c r="M183" s="49"/>
      <c r="N183" s="50"/>
      <c r="O183" s="43"/>
      <c r="P183" s="43"/>
      <c r="Q183" s="44"/>
      <c r="R183" s="35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43"/>
      <c r="B184" s="40"/>
      <c r="C184" s="44"/>
      <c r="D184" s="45"/>
      <c r="E184" s="44"/>
      <c r="F184" s="43"/>
      <c r="G184" s="43"/>
      <c r="H184" s="43"/>
      <c r="I184" s="46"/>
      <c r="J184" s="47"/>
      <c r="K184" s="48"/>
      <c r="L184" s="49"/>
      <c r="M184" s="49"/>
      <c r="N184" s="50"/>
      <c r="O184" s="43"/>
      <c r="P184" s="43"/>
      <c r="Q184" s="44"/>
      <c r="R184" s="35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43"/>
      <c r="B185" s="40"/>
      <c r="C185" s="44"/>
      <c r="D185" s="45"/>
      <c r="E185" s="44"/>
      <c r="F185" s="43"/>
      <c r="G185" s="43"/>
      <c r="H185" s="43"/>
      <c r="I185" s="46"/>
      <c r="J185" s="47"/>
      <c r="K185" s="48"/>
      <c r="L185" s="49"/>
      <c r="M185" s="49"/>
      <c r="N185" s="50"/>
      <c r="O185" s="43"/>
      <c r="P185" s="43"/>
      <c r="Q185" s="44"/>
      <c r="R185" s="35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43"/>
      <c r="B186" s="40"/>
      <c r="C186" s="44"/>
      <c r="D186" s="45"/>
      <c r="E186" s="44"/>
      <c r="F186" s="43"/>
      <c r="G186" s="43"/>
      <c r="H186" s="43"/>
      <c r="I186" s="46"/>
      <c r="J186" s="47"/>
      <c r="K186" s="48"/>
      <c r="L186" s="49"/>
      <c r="M186" s="49"/>
      <c r="N186" s="50"/>
      <c r="O186" s="43"/>
      <c r="P186" s="43"/>
      <c r="Q186" s="44"/>
      <c r="R186" s="35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43"/>
      <c r="B187" s="40"/>
      <c r="C187" s="44"/>
      <c r="D187" s="45"/>
      <c r="E187" s="44"/>
      <c r="F187" s="43"/>
      <c r="G187" s="43"/>
      <c r="H187" s="43"/>
      <c r="I187" s="46"/>
      <c r="J187" s="47"/>
      <c r="K187" s="48"/>
      <c r="L187" s="49"/>
      <c r="M187" s="49"/>
      <c r="N187" s="50"/>
      <c r="O187" s="43"/>
      <c r="P187" s="43"/>
      <c r="Q187" s="44"/>
      <c r="R187" s="35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43"/>
      <c r="B188" s="40"/>
      <c r="C188" s="44"/>
      <c r="D188" s="45"/>
      <c r="E188" s="44"/>
      <c r="F188" s="43"/>
      <c r="G188" s="43"/>
      <c r="H188" s="43"/>
      <c r="I188" s="46"/>
      <c r="J188" s="47"/>
      <c r="K188" s="48"/>
      <c r="L188" s="49"/>
      <c r="M188" s="49"/>
      <c r="N188" s="50"/>
      <c r="O188" s="43"/>
      <c r="P188" s="43"/>
      <c r="Q188" s="44"/>
      <c r="R188" s="35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43"/>
      <c r="B189" s="40"/>
      <c r="C189" s="44"/>
      <c r="D189" s="45"/>
      <c r="E189" s="44"/>
      <c r="F189" s="43"/>
      <c r="G189" s="43"/>
      <c r="H189" s="43"/>
      <c r="I189" s="46"/>
      <c r="J189" s="47"/>
      <c r="K189" s="48"/>
      <c r="L189" s="49"/>
      <c r="M189" s="49"/>
      <c r="N189" s="50"/>
      <c r="O189" s="43"/>
      <c r="P189" s="43"/>
      <c r="Q189" s="44"/>
      <c r="R189" s="35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43"/>
      <c r="B190" s="40"/>
      <c r="C190" s="44"/>
      <c r="D190" s="45"/>
      <c r="E190" s="44"/>
      <c r="F190" s="43"/>
      <c r="G190" s="43"/>
      <c r="H190" s="43"/>
      <c r="I190" s="46"/>
      <c r="J190" s="47"/>
      <c r="K190" s="48"/>
      <c r="L190" s="49"/>
      <c r="M190" s="49"/>
      <c r="N190" s="50"/>
      <c r="O190" s="43"/>
      <c r="P190" s="43"/>
      <c r="Q190" s="44"/>
      <c r="R190" s="35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43"/>
      <c r="B191" s="40"/>
      <c r="C191" s="44"/>
      <c r="D191" s="45"/>
      <c r="E191" s="44"/>
      <c r="F191" s="43"/>
      <c r="G191" s="43"/>
      <c r="H191" s="43"/>
      <c r="I191" s="46"/>
      <c r="J191" s="47"/>
      <c r="K191" s="48"/>
      <c r="L191" s="49"/>
      <c r="M191" s="49"/>
      <c r="N191" s="50"/>
      <c r="O191" s="43"/>
      <c r="P191" s="43"/>
      <c r="Q191" s="44"/>
      <c r="R191" s="35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43"/>
      <c r="B192" s="40"/>
      <c r="C192" s="44"/>
      <c r="D192" s="45"/>
      <c r="E192" s="44"/>
      <c r="F192" s="43"/>
      <c r="G192" s="43"/>
      <c r="H192" s="43"/>
      <c r="I192" s="46"/>
      <c r="J192" s="47"/>
      <c r="K192" s="48"/>
      <c r="L192" s="49"/>
      <c r="M192" s="49"/>
      <c r="N192" s="50"/>
      <c r="O192" s="43"/>
      <c r="P192" s="43"/>
      <c r="Q192" s="44"/>
      <c r="R192" s="35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43"/>
      <c r="B193" s="40"/>
      <c r="C193" s="44"/>
      <c r="D193" s="45"/>
      <c r="E193" s="44"/>
      <c r="F193" s="43"/>
      <c r="G193" s="43"/>
      <c r="H193" s="43"/>
      <c r="I193" s="46"/>
      <c r="J193" s="47"/>
      <c r="K193" s="48"/>
      <c r="L193" s="49"/>
      <c r="M193" s="49"/>
      <c r="N193" s="50"/>
      <c r="O193" s="43"/>
      <c r="P193" s="43"/>
      <c r="Q193" s="44"/>
      <c r="R193" s="35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43"/>
      <c r="B194" s="40"/>
      <c r="C194" s="44"/>
      <c r="D194" s="45"/>
      <c r="E194" s="44"/>
      <c r="F194" s="43"/>
      <c r="G194" s="43"/>
      <c r="H194" s="43"/>
      <c r="I194" s="46"/>
      <c r="J194" s="47"/>
      <c r="K194" s="48"/>
      <c r="L194" s="49"/>
      <c r="M194" s="49"/>
      <c r="N194" s="50"/>
      <c r="O194" s="43"/>
      <c r="P194" s="43"/>
      <c r="Q194" s="44"/>
      <c r="R194" s="35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43"/>
      <c r="B195" s="40"/>
      <c r="C195" s="44"/>
      <c r="D195" s="45"/>
      <c r="E195" s="44"/>
      <c r="F195" s="43"/>
      <c r="G195" s="43"/>
      <c r="H195" s="43"/>
      <c r="I195" s="46"/>
      <c r="J195" s="47"/>
      <c r="K195" s="48"/>
      <c r="L195" s="49"/>
      <c r="M195" s="49"/>
      <c r="N195" s="50"/>
      <c r="O195" s="43"/>
      <c r="P195" s="43"/>
      <c r="Q195" s="44"/>
      <c r="R195" s="35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43"/>
      <c r="B196" s="40"/>
      <c r="C196" s="44"/>
      <c r="D196" s="45"/>
      <c r="E196" s="44"/>
      <c r="F196" s="43"/>
      <c r="G196" s="43"/>
      <c r="H196" s="43"/>
      <c r="I196" s="46"/>
      <c r="J196" s="47"/>
      <c r="K196" s="48"/>
      <c r="L196" s="49"/>
      <c r="M196" s="49"/>
      <c r="N196" s="50"/>
      <c r="O196" s="43"/>
      <c r="P196" s="43"/>
      <c r="Q196" s="44"/>
      <c r="R196" s="35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43"/>
      <c r="B197" s="40"/>
      <c r="C197" s="44"/>
      <c r="D197" s="45"/>
      <c r="E197" s="44"/>
      <c r="F197" s="43"/>
      <c r="G197" s="43"/>
      <c r="H197" s="43"/>
      <c r="I197" s="46"/>
      <c r="J197" s="47"/>
      <c r="K197" s="48"/>
      <c r="L197" s="49"/>
      <c r="M197" s="49"/>
      <c r="N197" s="50"/>
      <c r="O197" s="43"/>
      <c r="P197" s="43"/>
      <c r="Q197" s="44"/>
      <c r="R197" s="35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43"/>
      <c r="B198" s="40"/>
      <c r="C198" s="44"/>
      <c r="D198" s="45"/>
      <c r="E198" s="44"/>
      <c r="F198" s="43"/>
      <c r="G198" s="43"/>
      <c r="H198" s="43"/>
      <c r="I198" s="46"/>
      <c r="J198" s="47"/>
      <c r="K198" s="48"/>
      <c r="L198" s="49"/>
      <c r="M198" s="49"/>
      <c r="N198" s="50"/>
      <c r="O198" s="43"/>
      <c r="P198" s="43"/>
      <c r="Q198" s="44"/>
      <c r="R198" s="35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43"/>
      <c r="B199" s="40"/>
      <c r="C199" s="44"/>
      <c r="D199" s="45"/>
      <c r="E199" s="44"/>
      <c r="F199" s="43"/>
      <c r="G199" s="43"/>
      <c r="H199" s="43"/>
      <c r="I199" s="46"/>
      <c r="J199" s="47"/>
      <c r="K199" s="48"/>
      <c r="L199" s="49"/>
      <c r="M199" s="49"/>
      <c r="N199" s="50"/>
      <c r="O199" s="43"/>
      <c r="P199" s="43"/>
      <c r="Q199" s="44"/>
      <c r="R199" s="35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43"/>
      <c r="B200" s="40"/>
      <c r="C200" s="44"/>
      <c r="D200" s="45"/>
      <c r="E200" s="44"/>
      <c r="F200" s="43"/>
      <c r="G200" s="43"/>
      <c r="H200" s="43"/>
      <c r="I200" s="46"/>
      <c r="J200" s="47"/>
      <c r="K200" s="48"/>
      <c r="L200" s="49"/>
      <c r="M200" s="49"/>
      <c r="N200" s="50"/>
      <c r="O200" s="43"/>
      <c r="P200" s="43"/>
      <c r="Q200" s="44"/>
      <c r="R200" s="35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43"/>
      <c r="B201" s="40"/>
      <c r="C201" s="44"/>
      <c r="D201" s="45"/>
      <c r="E201" s="44"/>
      <c r="F201" s="43"/>
      <c r="G201" s="43"/>
      <c r="H201" s="43"/>
      <c r="I201" s="46"/>
      <c r="J201" s="47"/>
      <c r="K201" s="48"/>
      <c r="L201" s="49"/>
      <c r="M201" s="49"/>
      <c r="N201" s="50"/>
      <c r="O201" s="43"/>
      <c r="P201" s="43"/>
      <c r="Q201" s="44"/>
      <c r="R201" s="35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43"/>
      <c r="B202" s="40"/>
      <c r="C202" s="44"/>
      <c r="D202" s="45"/>
      <c r="E202" s="44"/>
      <c r="F202" s="43"/>
      <c r="G202" s="43"/>
      <c r="H202" s="43"/>
      <c r="I202" s="46"/>
      <c r="J202" s="47"/>
      <c r="K202" s="48"/>
      <c r="L202" s="49"/>
      <c r="M202" s="49"/>
      <c r="N202" s="50"/>
      <c r="O202" s="43"/>
      <c r="P202" s="43"/>
      <c r="Q202" s="44"/>
      <c r="R202" s="35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43"/>
      <c r="B203" s="40"/>
      <c r="C203" s="44"/>
      <c r="D203" s="45"/>
      <c r="E203" s="44"/>
      <c r="F203" s="43"/>
      <c r="G203" s="43"/>
      <c r="H203" s="43"/>
      <c r="I203" s="46"/>
      <c r="J203" s="47"/>
      <c r="K203" s="48"/>
      <c r="L203" s="49"/>
      <c r="M203" s="49"/>
      <c r="N203" s="50"/>
      <c r="O203" s="43"/>
      <c r="P203" s="43"/>
      <c r="Q203" s="44"/>
      <c r="R203" s="35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43"/>
      <c r="B204" s="40"/>
      <c r="C204" s="44"/>
      <c r="D204" s="45"/>
      <c r="E204" s="44"/>
      <c r="F204" s="43"/>
      <c r="G204" s="43"/>
      <c r="H204" s="43"/>
      <c r="I204" s="46"/>
      <c r="J204" s="47"/>
      <c r="K204" s="48"/>
      <c r="L204" s="49"/>
      <c r="M204" s="49"/>
      <c r="N204" s="50"/>
      <c r="O204" s="43"/>
      <c r="P204" s="43"/>
      <c r="Q204" s="44"/>
      <c r="R204" s="35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43"/>
      <c r="B205" s="40"/>
      <c r="C205" s="44"/>
      <c r="D205" s="45"/>
      <c r="E205" s="44"/>
      <c r="F205" s="43"/>
      <c r="G205" s="43"/>
      <c r="H205" s="43"/>
      <c r="I205" s="46"/>
      <c r="J205" s="47"/>
      <c r="K205" s="48"/>
      <c r="L205" s="49"/>
      <c r="M205" s="49"/>
      <c r="N205" s="50"/>
      <c r="O205" s="43"/>
      <c r="P205" s="43"/>
      <c r="Q205" s="44"/>
      <c r="R205" s="35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43"/>
      <c r="B206" s="40"/>
      <c r="C206" s="44"/>
      <c r="D206" s="45"/>
      <c r="E206" s="44"/>
      <c r="F206" s="43"/>
      <c r="G206" s="43"/>
      <c r="H206" s="43"/>
      <c r="I206" s="46"/>
      <c r="J206" s="47"/>
      <c r="K206" s="48"/>
      <c r="L206" s="49"/>
      <c r="M206" s="49"/>
      <c r="N206" s="50"/>
      <c r="O206" s="43"/>
      <c r="P206" s="43"/>
      <c r="Q206" s="44"/>
      <c r="R206" s="35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43"/>
      <c r="B207" s="40"/>
      <c r="C207" s="44"/>
      <c r="D207" s="45"/>
      <c r="E207" s="44"/>
      <c r="F207" s="43"/>
      <c r="G207" s="43"/>
      <c r="H207" s="43"/>
      <c r="I207" s="46"/>
      <c r="J207" s="47"/>
      <c r="K207" s="48"/>
      <c r="L207" s="49"/>
      <c r="M207" s="49"/>
      <c r="N207" s="50"/>
      <c r="O207" s="43"/>
      <c r="P207" s="43"/>
      <c r="Q207" s="44"/>
      <c r="R207" s="35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43"/>
      <c r="B208" s="40"/>
      <c r="C208" s="44"/>
      <c r="D208" s="45"/>
      <c r="E208" s="44"/>
      <c r="F208" s="43"/>
      <c r="G208" s="43"/>
      <c r="H208" s="43"/>
      <c r="I208" s="46"/>
      <c r="J208" s="47"/>
      <c r="K208" s="48"/>
      <c r="L208" s="49"/>
      <c r="M208" s="49"/>
      <c r="N208" s="50"/>
      <c r="O208" s="43"/>
      <c r="P208" s="43"/>
      <c r="Q208" s="44"/>
      <c r="R208" s="35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43"/>
      <c r="B209" s="40"/>
      <c r="C209" s="44"/>
      <c r="D209" s="45"/>
      <c r="E209" s="44"/>
      <c r="F209" s="43"/>
      <c r="G209" s="43"/>
      <c r="H209" s="43"/>
      <c r="I209" s="46"/>
      <c r="J209" s="47"/>
      <c r="K209" s="48"/>
      <c r="L209" s="49"/>
      <c r="M209" s="49"/>
      <c r="N209" s="50"/>
      <c r="O209" s="43"/>
      <c r="P209" s="43"/>
      <c r="Q209" s="44"/>
      <c r="R209" s="35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43"/>
      <c r="B210" s="40"/>
      <c r="C210" s="44"/>
      <c r="D210" s="45"/>
      <c r="E210" s="44"/>
      <c r="F210" s="43"/>
      <c r="G210" s="43"/>
      <c r="H210" s="43"/>
      <c r="I210" s="46"/>
      <c r="J210" s="47"/>
      <c r="K210" s="48"/>
      <c r="L210" s="49"/>
      <c r="M210" s="49"/>
      <c r="N210" s="50"/>
      <c r="O210" s="43"/>
      <c r="P210" s="43"/>
      <c r="Q210" s="44"/>
      <c r="R210" s="35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43"/>
      <c r="B211" s="40"/>
      <c r="C211" s="44"/>
      <c r="D211" s="45"/>
      <c r="E211" s="44"/>
      <c r="F211" s="43"/>
      <c r="G211" s="43"/>
      <c r="H211" s="43"/>
      <c r="I211" s="46"/>
      <c r="J211" s="47"/>
      <c r="K211" s="48"/>
      <c r="L211" s="49"/>
      <c r="M211" s="49"/>
      <c r="N211" s="50"/>
      <c r="O211" s="43"/>
      <c r="P211" s="43"/>
      <c r="Q211" s="44"/>
      <c r="R211" s="35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43"/>
      <c r="B212" s="40"/>
      <c r="C212" s="44"/>
      <c r="D212" s="45"/>
      <c r="E212" s="44"/>
      <c r="F212" s="43"/>
      <c r="G212" s="43"/>
      <c r="H212" s="43"/>
      <c r="I212" s="46"/>
      <c r="J212" s="47"/>
      <c r="K212" s="48"/>
      <c r="L212" s="49"/>
      <c r="M212" s="49"/>
      <c r="N212" s="50"/>
      <c r="O212" s="43"/>
      <c r="P212" s="43"/>
      <c r="Q212" s="44"/>
      <c r="R212" s="35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43"/>
      <c r="B213" s="40"/>
      <c r="C213" s="44"/>
      <c r="D213" s="45"/>
      <c r="E213" s="44"/>
      <c r="F213" s="43"/>
      <c r="G213" s="43"/>
      <c r="H213" s="43"/>
      <c r="I213" s="46"/>
      <c r="J213" s="47"/>
      <c r="K213" s="48"/>
      <c r="L213" s="49"/>
      <c r="M213" s="49"/>
      <c r="N213" s="50"/>
      <c r="O213" s="43"/>
      <c r="P213" s="43"/>
      <c r="Q213" s="44"/>
      <c r="R213" s="35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43"/>
      <c r="B214" s="40"/>
      <c r="C214" s="44"/>
      <c r="D214" s="45"/>
      <c r="E214" s="44"/>
      <c r="F214" s="43"/>
      <c r="G214" s="43"/>
      <c r="H214" s="43"/>
      <c r="I214" s="46"/>
      <c r="J214" s="47"/>
      <c r="K214" s="48"/>
      <c r="L214" s="49"/>
      <c r="M214" s="49"/>
      <c r="N214" s="50"/>
      <c r="O214" s="43"/>
      <c r="P214" s="43"/>
      <c r="Q214" s="44"/>
      <c r="R214" s="35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43"/>
      <c r="B215" s="40"/>
      <c r="C215" s="44"/>
      <c r="D215" s="45"/>
      <c r="E215" s="44"/>
      <c r="F215" s="43"/>
      <c r="G215" s="43"/>
      <c r="H215" s="43"/>
      <c r="I215" s="46"/>
      <c r="J215" s="47"/>
      <c r="K215" s="48"/>
      <c r="L215" s="49"/>
      <c r="M215" s="49"/>
      <c r="N215" s="50"/>
      <c r="O215" s="43"/>
      <c r="P215" s="43"/>
      <c r="Q215" s="44"/>
      <c r="R215" s="35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43"/>
      <c r="B216" s="40"/>
      <c r="C216" s="44"/>
      <c r="D216" s="45"/>
      <c r="E216" s="44"/>
      <c r="F216" s="43"/>
      <c r="G216" s="43"/>
      <c r="H216" s="43"/>
      <c r="I216" s="46"/>
      <c r="J216" s="47"/>
      <c r="K216" s="48"/>
      <c r="L216" s="49"/>
      <c r="M216" s="49"/>
      <c r="N216" s="50"/>
      <c r="O216" s="43"/>
      <c r="P216" s="43"/>
      <c r="Q216" s="44"/>
      <c r="R216" s="35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43"/>
      <c r="B217" s="40"/>
      <c r="C217" s="44"/>
      <c r="D217" s="45"/>
      <c r="E217" s="44"/>
      <c r="F217" s="43"/>
      <c r="G217" s="43"/>
      <c r="H217" s="43"/>
      <c r="I217" s="46"/>
      <c r="J217" s="47"/>
      <c r="K217" s="48"/>
      <c r="L217" s="49"/>
      <c r="M217" s="49"/>
      <c r="N217" s="50"/>
      <c r="O217" s="43"/>
      <c r="P217" s="43"/>
      <c r="Q217" s="44"/>
      <c r="R217" s="35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43"/>
      <c r="B218" s="40"/>
      <c r="C218" s="44"/>
      <c r="D218" s="45"/>
      <c r="E218" s="44"/>
      <c r="F218" s="43"/>
      <c r="G218" s="43"/>
      <c r="H218" s="43"/>
      <c r="I218" s="46"/>
      <c r="J218" s="47"/>
      <c r="K218" s="48"/>
      <c r="L218" s="49"/>
      <c r="M218" s="49"/>
      <c r="N218" s="50"/>
      <c r="O218" s="43"/>
      <c r="P218" s="43"/>
      <c r="Q218" s="44"/>
      <c r="R218" s="35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43"/>
      <c r="B219" s="40"/>
      <c r="C219" s="44"/>
      <c r="D219" s="45"/>
      <c r="E219" s="44"/>
      <c r="F219" s="43"/>
      <c r="G219" s="43"/>
      <c r="H219" s="43"/>
      <c r="I219" s="46"/>
      <c r="J219" s="47"/>
      <c r="K219" s="48"/>
      <c r="L219" s="49"/>
      <c r="M219" s="49"/>
      <c r="N219" s="50"/>
      <c r="O219" s="43"/>
      <c r="P219" s="43"/>
      <c r="Q219" s="44"/>
      <c r="R219" s="35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43"/>
      <c r="B220" s="40"/>
      <c r="C220" s="44"/>
      <c r="D220" s="45"/>
      <c r="E220" s="44"/>
      <c r="F220" s="43"/>
      <c r="G220" s="43"/>
      <c r="H220" s="43"/>
      <c r="I220" s="46"/>
      <c r="J220" s="47"/>
      <c r="K220" s="48"/>
      <c r="L220" s="49"/>
      <c r="M220" s="49"/>
      <c r="N220" s="50"/>
      <c r="O220" s="43"/>
      <c r="P220" s="43"/>
      <c r="Q220" s="44"/>
      <c r="R220" s="35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43"/>
      <c r="B221" s="40"/>
      <c r="C221" s="44"/>
      <c r="D221" s="45"/>
      <c r="E221" s="44"/>
      <c r="F221" s="43"/>
      <c r="G221" s="43"/>
      <c r="H221" s="43"/>
      <c r="I221" s="46"/>
      <c r="J221" s="47"/>
      <c r="K221" s="48"/>
      <c r="L221" s="49"/>
      <c r="M221" s="49"/>
      <c r="N221" s="50"/>
      <c r="O221" s="43"/>
      <c r="P221" s="43"/>
      <c r="Q221" s="44"/>
      <c r="R221" s="35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43"/>
      <c r="B222" s="40"/>
      <c r="C222" s="44"/>
      <c r="D222" s="45"/>
      <c r="E222" s="44"/>
      <c r="F222" s="43"/>
      <c r="G222" s="43"/>
      <c r="H222" s="43"/>
      <c r="I222" s="46"/>
      <c r="J222" s="47"/>
      <c r="K222" s="48"/>
      <c r="L222" s="49"/>
      <c r="M222" s="49"/>
      <c r="N222" s="50"/>
      <c r="O222" s="43"/>
      <c r="P222" s="43"/>
      <c r="Q222" s="44"/>
      <c r="R222" s="35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43"/>
      <c r="B223" s="40"/>
      <c r="C223" s="44"/>
      <c r="D223" s="45"/>
      <c r="E223" s="44"/>
      <c r="F223" s="43"/>
      <c r="G223" s="43"/>
      <c r="H223" s="43"/>
      <c r="I223" s="46"/>
      <c r="J223" s="47"/>
      <c r="K223" s="48"/>
      <c r="L223" s="49"/>
      <c r="M223" s="49"/>
      <c r="N223" s="50"/>
      <c r="O223" s="43"/>
      <c r="P223" s="43"/>
      <c r="Q223" s="44"/>
      <c r="R223" s="35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43"/>
      <c r="B224" s="40"/>
      <c r="C224" s="44"/>
      <c r="D224" s="45"/>
      <c r="E224" s="44"/>
      <c r="F224" s="43"/>
      <c r="G224" s="43"/>
      <c r="H224" s="43"/>
      <c r="I224" s="46"/>
      <c r="J224" s="47"/>
      <c r="K224" s="48"/>
      <c r="L224" s="49"/>
      <c r="M224" s="49"/>
      <c r="N224" s="50"/>
      <c r="O224" s="43"/>
      <c r="P224" s="43"/>
      <c r="Q224" s="44"/>
      <c r="R224" s="35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43"/>
      <c r="B225" s="40"/>
      <c r="C225" s="44"/>
      <c r="D225" s="45"/>
      <c r="E225" s="44"/>
      <c r="F225" s="43"/>
      <c r="G225" s="43"/>
      <c r="H225" s="43"/>
      <c r="I225" s="46"/>
      <c r="J225" s="47"/>
      <c r="K225" s="48"/>
      <c r="L225" s="49"/>
      <c r="M225" s="49"/>
      <c r="N225" s="50"/>
      <c r="O225" s="43"/>
      <c r="P225" s="43"/>
      <c r="Q225" s="44"/>
      <c r="R225" s="35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43"/>
      <c r="B226" s="40"/>
      <c r="C226" s="44"/>
      <c r="D226" s="45"/>
      <c r="E226" s="44"/>
      <c r="F226" s="43"/>
      <c r="G226" s="43"/>
      <c r="H226" s="43"/>
      <c r="I226" s="46"/>
      <c r="J226" s="47"/>
      <c r="K226" s="48"/>
      <c r="L226" s="49"/>
      <c r="M226" s="49"/>
      <c r="N226" s="50"/>
      <c r="O226" s="43"/>
      <c r="P226" s="43"/>
      <c r="Q226" s="44"/>
      <c r="R226" s="35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43"/>
      <c r="B227" s="40"/>
      <c r="C227" s="44"/>
      <c r="D227" s="45"/>
      <c r="E227" s="44"/>
      <c r="F227" s="43"/>
      <c r="G227" s="43"/>
      <c r="H227" s="43"/>
      <c r="I227" s="46"/>
      <c r="J227" s="47"/>
      <c r="K227" s="48"/>
      <c r="L227" s="49"/>
      <c r="M227" s="49"/>
      <c r="N227" s="50"/>
      <c r="O227" s="43"/>
      <c r="P227" s="43"/>
      <c r="Q227" s="44"/>
      <c r="R227" s="35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43"/>
      <c r="B228" s="40"/>
      <c r="C228" s="44"/>
      <c r="D228" s="45"/>
      <c r="E228" s="44"/>
      <c r="F228" s="43"/>
      <c r="G228" s="43"/>
      <c r="H228" s="43"/>
      <c r="I228" s="46"/>
      <c r="J228" s="47"/>
      <c r="K228" s="48"/>
      <c r="L228" s="49"/>
      <c r="M228" s="49"/>
      <c r="N228" s="50"/>
      <c r="O228" s="43"/>
      <c r="P228" s="43"/>
      <c r="Q228" s="44"/>
      <c r="R228" s="35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43"/>
      <c r="B229" s="40"/>
      <c r="C229" s="44"/>
      <c r="D229" s="45"/>
      <c r="E229" s="44"/>
      <c r="F229" s="43"/>
      <c r="G229" s="43"/>
      <c r="H229" s="43"/>
      <c r="I229" s="46"/>
      <c r="J229" s="47"/>
      <c r="K229" s="48"/>
      <c r="L229" s="49"/>
      <c r="M229" s="49"/>
      <c r="N229" s="50"/>
      <c r="O229" s="43"/>
      <c r="P229" s="43"/>
      <c r="Q229" s="44"/>
      <c r="R229" s="35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43"/>
      <c r="B230" s="40"/>
      <c r="C230" s="44"/>
      <c r="D230" s="45"/>
      <c r="E230" s="44"/>
      <c r="F230" s="43"/>
      <c r="G230" s="43"/>
      <c r="H230" s="43"/>
      <c r="I230" s="46"/>
      <c r="J230" s="47"/>
      <c r="K230" s="48"/>
      <c r="L230" s="49"/>
      <c r="M230" s="49"/>
      <c r="N230" s="50"/>
      <c r="O230" s="43"/>
      <c r="P230" s="43"/>
      <c r="Q230" s="44"/>
      <c r="R230" s="35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43"/>
      <c r="B231" s="40"/>
      <c r="C231" s="44"/>
      <c r="D231" s="45"/>
      <c r="E231" s="44"/>
      <c r="F231" s="43"/>
      <c r="G231" s="43"/>
      <c r="H231" s="43"/>
      <c r="I231" s="46"/>
      <c r="J231" s="47"/>
      <c r="K231" s="48"/>
      <c r="L231" s="49"/>
      <c r="M231" s="49"/>
      <c r="N231" s="50"/>
      <c r="O231" s="43"/>
      <c r="P231" s="43"/>
      <c r="Q231" s="44"/>
      <c r="R231" s="35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43"/>
      <c r="B232" s="40"/>
      <c r="C232" s="44"/>
      <c r="D232" s="45"/>
      <c r="E232" s="44"/>
      <c r="F232" s="43"/>
      <c r="G232" s="43"/>
      <c r="H232" s="43"/>
      <c r="I232" s="46"/>
      <c r="J232" s="47"/>
      <c r="K232" s="48"/>
      <c r="L232" s="49"/>
      <c r="M232" s="49"/>
      <c r="N232" s="50"/>
      <c r="O232" s="43"/>
      <c r="P232" s="43"/>
      <c r="Q232" s="44"/>
      <c r="R232" s="35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43"/>
      <c r="B233" s="40"/>
      <c r="C233" s="44"/>
      <c r="D233" s="45"/>
      <c r="E233" s="44"/>
      <c r="F233" s="43"/>
      <c r="G233" s="43"/>
      <c r="H233" s="43"/>
      <c r="I233" s="46"/>
      <c r="J233" s="47"/>
      <c r="K233" s="48"/>
      <c r="L233" s="49"/>
      <c r="M233" s="49"/>
      <c r="N233" s="50"/>
      <c r="O233" s="43"/>
      <c r="P233" s="43"/>
      <c r="Q233" s="44"/>
      <c r="R233" s="35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43"/>
      <c r="B234" s="40"/>
      <c r="C234" s="44"/>
      <c r="D234" s="45"/>
      <c r="E234" s="44"/>
      <c r="F234" s="43"/>
      <c r="G234" s="43"/>
      <c r="H234" s="43"/>
      <c r="I234" s="46"/>
      <c r="J234" s="47"/>
      <c r="K234" s="48"/>
      <c r="L234" s="49"/>
      <c r="M234" s="49"/>
      <c r="N234" s="50"/>
      <c r="O234" s="43"/>
      <c r="P234" s="43"/>
      <c r="Q234" s="44"/>
      <c r="R234" s="35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43"/>
      <c r="B235" s="40"/>
      <c r="C235" s="44"/>
      <c r="D235" s="45"/>
      <c r="E235" s="44"/>
      <c r="F235" s="43"/>
      <c r="G235" s="43"/>
      <c r="H235" s="43"/>
      <c r="I235" s="46"/>
      <c r="J235" s="47"/>
      <c r="K235" s="48"/>
      <c r="L235" s="49"/>
      <c r="M235" s="49"/>
      <c r="N235" s="50"/>
      <c r="O235" s="43"/>
      <c r="P235" s="43"/>
      <c r="Q235" s="44"/>
      <c r="R235" s="35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43"/>
      <c r="B236" s="40"/>
      <c r="C236" s="44"/>
      <c r="D236" s="45"/>
      <c r="E236" s="44"/>
      <c r="F236" s="43"/>
      <c r="G236" s="43"/>
      <c r="H236" s="43"/>
      <c r="I236" s="46"/>
      <c r="J236" s="47"/>
      <c r="K236" s="48"/>
      <c r="L236" s="49"/>
      <c r="M236" s="49"/>
      <c r="N236" s="50"/>
      <c r="O236" s="43"/>
      <c r="P236" s="43"/>
      <c r="Q236" s="44"/>
      <c r="R236" s="35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43"/>
      <c r="B237" s="40"/>
      <c r="C237" s="44"/>
      <c r="D237" s="45"/>
      <c r="E237" s="44"/>
      <c r="F237" s="43"/>
      <c r="G237" s="43"/>
      <c r="H237" s="43"/>
      <c r="I237" s="46"/>
      <c r="J237" s="47"/>
      <c r="K237" s="48"/>
      <c r="L237" s="49"/>
      <c r="M237" s="49"/>
      <c r="N237" s="50"/>
      <c r="O237" s="43"/>
      <c r="P237" s="43"/>
      <c r="Q237" s="44"/>
      <c r="R237" s="35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43"/>
      <c r="B238" s="40"/>
      <c r="C238" s="44"/>
      <c r="D238" s="45"/>
      <c r="E238" s="44"/>
      <c r="F238" s="43"/>
      <c r="G238" s="43"/>
      <c r="H238" s="43"/>
      <c r="I238" s="46"/>
      <c r="J238" s="47"/>
      <c r="K238" s="48"/>
      <c r="L238" s="49"/>
      <c r="M238" s="49"/>
      <c r="N238" s="50"/>
      <c r="O238" s="43"/>
      <c r="P238" s="43"/>
      <c r="Q238" s="44"/>
      <c r="R238" s="35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43"/>
      <c r="B239" s="40"/>
      <c r="C239" s="44"/>
      <c r="D239" s="45"/>
      <c r="E239" s="44"/>
      <c r="F239" s="43"/>
      <c r="G239" s="43"/>
      <c r="H239" s="43"/>
      <c r="I239" s="46"/>
      <c r="J239" s="47"/>
      <c r="K239" s="48"/>
      <c r="L239" s="49"/>
      <c r="M239" s="49"/>
      <c r="N239" s="50"/>
      <c r="O239" s="43"/>
      <c r="P239" s="43"/>
      <c r="Q239" s="44"/>
      <c r="R239" s="35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43"/>
      <c r="B240" s="40"/>
      <c r="C240" s="44"/>
      <c r="D240" s="45"/>
      <c r="E240" s="44"/>
      <c r="F240" s="43"/>
      <c r="G240" s="43"/>
      <c r="H240" s="43"/>
      <c r="I240" s="46"/>
      <c r="J240" s="47"/>
      <c r="K240" s="48"/>
      <c r="L240" s="49"/>
      <c r="M240" s="49"/>
      <c r="N240" s="50"/>
      <c r="O240" s="43"/>
      <c r="P240" s="43"/>
      <c r="Q240" s="44"/>
      <c r="R240" s="35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43"/>
      <c r="B241" s="40"/>
      <c r="C241" s="44"/>
      <c r="D241" s="45"/>
      <c r="E241" s="44"/>
      <c r="F241" s="43"/>
      <c r="G241" s="43"/>
      <c r="H241" s="43"/>
      <c r="I241" s="46"/>
      <c r="J241" s="47"/>
      <c r="K241" s="48"/>
      <c r="L241" s="49"/>
      <c r="M241" s="49"/>
      <c r="N241" s="50"/>
      <c r="O241" s="43"/>
      <c r="P241" s="43"/>
      <c r="Q241" s="44"/>
      <c r="R241" s="35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43"/>
      <c r="B242" s="40"/>
      <c r="C242" s="44"/>
      <c r="D242" s="45"/>
      <c r="E242" s="44"/>
      <c r="F242" s="43"/>
      <c r="G242" s="43"/>
      <c r="H242" s="43"/>
      <c r="I242" s="46"/>
      <c r="J242" s="47"/>
      <c r="K242" s="48"/>
      <c r="L242" s="49"/>
      <c r="M242" s="49"/>
      <c r="N242" s="50"/>
      <c r="O242" s="43"/>
      <c r="P242" s="43"/>
      <c r="Q242" s="44"/>
      <c r="R242" s="35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43"/>
      <c r="B243" s="40"/>
      <c r="C243" s="44"/>
      <c r="D243" s="45"/>
      <c r="E243" s="44"/>
      <c r="F243" s="43"/>
      <c r="G243" s="43"/>
      <c r="H243" s="43"/>
      <c r="I243" s="46"/>
      <c r="J243" s="47"/>
      <c r="K243" s="48"/>
      <c r="L243" s="49"/>
      <c r="M243" s="49"/>
      <c r="N243" s="50"/>
      <c r="O243" s="43"/>
      <c r="P243" s="43"/>
      <c r="Q243" s="44"/>
      <c r="R243" s="35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43"/>
      <c r="B244" s="40"/>
      <c r="C244" s="44"/>
      <c r="D244" s="45"/>
      <c r="E244" s="44"/>
      <c r="F244" s="43"/>
      <c r="G244" s="43"/>
      <c r="H244" s="43"/>
      <c r="I244" s="46"/>
      <c r="J244" s="47"/>
      <c r="K244" s="48"/>
      <c r="L244" s="49"/>
      <c r="M244" s="49"/>
      <c r="N244" s="50"/>
      <c r="O244" s="43"/>
      <c r="P244" s="43"/>
      <c r="Q244" s="44"/>
      <c r="R244" s="35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43"/>
      <c r="B245" s="40"/>
      <c r="C245" s="44"/>
      <c r="D245" s="45"/>
      <c r="E245" s="44"/>
      <c r="F245" s="43"/>
      <c r="G245" s="43"/>
      <c r="H245" s="43"/>
      <c r="I245" s="46"/>
      <c r="J245" s="47"/>
      <c r="K245" s="48"/>
      <c r="L245" s="49"/>
      <c r="M245" s="49"/>
      <c r="N245" s="50"/>
      <c r="O245" s="43"/>
      <c r="P245" s="43"/>
      <c r="Q245" s="44"/>
      <c r="R245" s="35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43"/>
      <c r="B246" s="40"/>
      <c r="C246" s="44"/>
      <c r="D246" s="45"/>
      <c r="E246" s="44"/>
      <c r="F246" s="43"/>
      <c r="G246" s="43"/>
      <c r="H246" s="43"/>
      <c r="I246" s="46"/>
      <c r="J246" s="47"/>
      <c r="K246" s="48"/>
      <c r="L246" s="49"/>
      <c r="M246" s="49"/>
      <c r="N246" s="50"/>
      <c r="O246" s="43"/>
      <c r="P246" s="43"/>
      <c r="Q246" s="44"/>
      <c r="R246" s="35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43"/>
      <c r="B247" s="40"/>
      <c r="C247" s="44"/>
      <c r="D247" s="45"/>
      <c r="E247" s="44"/>
      <c r="F247" s="43"/>
      <c r="G247" s="43"/>
      <c r="H247" s="43"/>
      <c r="I247" s="46"/>
      <c r="J247" s="47"/>
      <c r="K247" s="48"/>
      <c r="L247" s="49"/>
      <c r="M247" s="49"/>
      <c r="N247" s="50"/>
      <c r="O247" s="43"/>
      <c r="P247" s="43"/>
      <c r="Q247" s="44"/>
      <c r="R247" s="35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43"/>
      <c r="B248" s="40"/>
      <c r="C248" s="44"/>
      <c r="D248" s="45"/>
      <c r="E248" s="44"/>
      <c r="F248" s="43"/>
      <c r="G248" s="43"/>
      <c r="H248" s="43"/>
      <c r="I248" s="46"/>
      <c r="J248" s="47"/>
      <c r="K248" s="48"/>
      <c r="L248" s="49"/>
      <c r="M248" s="49"/>
      <c r="N248" s="50"/>
      <c r="O248" s="43"/>
      <c r="P248" s="43"/>
      <c r="Q248" s="44"/>
      <c r="R248" s="35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43"/>
      <c r="B249" s="40"/>
      <c r="C249" s="44"/>
      <c r="D249" s="45"/>
      <c r="E249" s="44"/>
      <c r="F249" s="43"/>
      <c r="G249" s="43"/>
      <c r="H249" s="43"/>
      <c r="I249" s="46"/>
      <c r="J249" s="47"/>
      <c r="K249" s="48"/>
      <c r="L249" s="49"/>
      <c r="M249" s="49"/>
      <c r="N249" s="50"/>
      <c r="O249" s="43"/>
      <c r="P249" s="43"/>
      <c r="Q249" s="44"/>
      <c r="R249" s="35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43"/>
      <c r="B250" s="40"/>
      <c r="C250" s="44"/>
      <c r="D250" s="45"/>
      <c r="E250" s="44"/>
      <c r="F250" s="43"/>
      <c r="G250" s="43"/>
      <c r="H250" s="43"/>
      <c r="I250" s="46"/>
      <c r="J250" s="47"/>
      <c r="K250" s="48"/>
      <c r="L250" s="49"/>
      <c r="M250" s="49"/>
      <c r="N250" s="50"/>
      <c r="O250" s="43"/>
      <c r="P250" s="43"/>
      <c r="Q250" s="44"/>
      <c r="R250" s="35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43"/>
      <c r="B251" s="40"/>
      <c r="C251" s="44"/>
      <c r="D251" s="45"/>
      <c r="E251" s="44"/>
      <c r="F251" s="43"/>
      <c r="G251" s="43"/>
      <c r="H251" s="43"/>
      <c r="I251" s="46"/>
      <c r="J251" s="47"/>
      <c r="K251" s="48"/>
      <c r="L251" s="49"/>
      <c r="M251" s="49"/>
      <c r="N251" s="50"/>
      <c r="O251" s="43"/>
      <c r="P251" s="43"/>
      <c r="Q251" s="44"/>
      <c r="R251" s="35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43"/>
      <c r="B252" s="40"/>
      <c r="C252" s="44"/>
      <c r="D252" s="45"/>
      <c r="E252" s="44"/>
      <c r="F252" s="43"/>
      <c r="G252" s="43"/>
      <c r="H252" s="43"/>
      <c r="I252" s="46"/>
      <c r="J252" s="47"/>
      <c r="K252" s="48"/>
      <c r="L252" s="49"/>
      <c r="M252" s="49"/>
      <c r="N252" s="50"/>
      <c r="O252" s="43"/>
      <c r="P252" s="43"/>
      <c r="Q252" s="44"/>
      <c r="R252" s="35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43"/>
      <c r="B253" s="40"/>
      <c r="C253" s="44"/>
      <c r="D253" s="45"/>
      <c r="E253" s="44"/>
      <c r="F253" s="43"/>
      <c r="G253" s="43"/>
      <c r="H253" s="43"/>
      <c r="I253" s="46"/>
      <c r="J253" s="47"/>
      <c r="K253" s="48"/>
      <c r="L253" s="49"/>
      <c r="M253" s="49"/>
      <c r="N253" s="50"/>
      <c r="O253" s="43"/>
      <c r="P253" s="43"/>
      <c r="Q253" s="44"/>
      <c r="R253" s="35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43"/>
      <c r="B254" s="40"/>
      <c r="C254" s="44"/>
      <c r="D254" s="45"/>
      <c r="E254" s="44"/>
      <c r="F254" s="43"/>
      <c r="G254" s="43"/>
      <c r="H254" s="43"/>
      <c r="I254" s="46"/>
      <c r="J254" s="47"/>
      <c r="K254" s="48"/>
      <c r="L254" s="49"/>
      <c r="M254" s="49"/>
      <c r="N254" s="50"/>
      <c r="O254" s="43"/>
      <c r="P254" s="43"/>
      <c r="Q254" s="44"/>
      <c r="R254" s="35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43"/>
      <c r="B255" s="40"/>
      <c r="C255" s="44"/>
      <c r="D255" s="45"/>
      <c r="E255" s="44"/>
      <c r="F255" s="43"/>
      <c r="G255" s="43"/>
      <c r="H255" s="43"/>
      <c r="I255" s="46"/>
      <c r="J255" s="47"/>
      <c r="K255" s="48"/>
      <c r="L255" s="49"/>
      <c r="M255" s="49"/>
      <c r="N255" s="50"/>
      <c r="O255" s="43"/>
      <c r="P255" s="43"/>
      <c r="Q255" s="44"/>
      <c r="R255" s="35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43"/>
      <c r="B256" s="40"/>
      <c r="C256" s="44"/>
      <c r="D256" s="45"/>
      <c r="E256" s="44"/>
      <c r="F256" s="43"/>
      <c r="G256" s="43"/>
      <c r="H256" s="43"/>
      <c r="I256" s="46"/>
      <c r="J256" s="47"/>
      <c r="K256" s="48"/>
      <c r="L256" s="49"/>
      <c r="M256" s="49"/>
      <c r="N256" s="50"/>
      <c r="O256" s="43"/>
      <c r="P256" s="43"/>
      <c r="Q256" s="44"/>
      <c r="R256" s="35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43"/>
      <c r="B257" s="40"/>
      <c r="C257" s="44"/>
      <c r="D257" s="45"/>
      <c r="E257" s="44"/>
      <c r="F257" s="43"/>
      <c r="G257" s="43"/>
      <c r="H257" s="43"/>
      <c r="I257" s="46"/>
      <c r="J257" s="47"/>
      <c r="K257" s="48"/>
      <c r="L257" s="49"/>
      <c r="M257" s="49"/>
      <c r="N257" s="50"/>
      <c r="O257" s="43"/>
      <c r="P257" s="43"/>
      <c r="Q257" s="44"/>
      <c r="R257" s="35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43"/>
      <c r="B258" s="40"/>
      <c r="C258" s="44"/>
      <c r="D258" s="45"/>
      <c r="E258" s="44"/>
      <c r="F258" s="43"/>
      <c r="G258" s="43"/>
      <c r="H258" s="43"/>
      <c r="I258" s="46"/>
      <c r="J258" s="47"/>
      <c r="K258" s="48"/>
      <c r="L258" s="49"/>
      <c r="M258" s="49"/>
      <c r="N258" s="50"/>
      <c r="O258" s="43"/>
      <c r="P258" s="43"/>
      <c r="Q258" s="44"/>
      <c r="R258" s="35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43"/>
      <c r="B259" s="40"/>
      <c r="C259" s="44"/>
      <c r="D259" s="45"/>
      <c r="E259" s="44"/>
      <c r="F259" s="43"/>
      <c r="G259" s="43"/>
      <c r="H259" s="43"/>
      <c r="I259" s="46"/>
      <c r="J259" s="47"/>
      <c r="K259" s="48"/>
      <c r="L259" s="49"/>
      <c r="M259" s="49"/>
      <c r="N259" s="50"/>
      <c r="O259" s="43"/>
      <c r="P259" s="43"/>
      <c r="Q259" s="44"/>
      <c r="R259" s="35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43"/>
      <c r="B260" s="40"/>
      <c r="C260" s="44"/>
      <c r="D260" s="45"/>
      <c r="E260" s="44"/>
      <c r="F260" s="43"/>
      <c r="G260" s="43"/>
      <c r="H260" s="43"/>
      <c r="I260" s="46"/>
      <c r="J260" s="47"/>
      <c r="K260" s="48"/>
      <c r="L260" s="49"/>
      <c r="M260" s="49"/>
      <c r="N260" s="50"/>
      <c r="O260" s="43"/>
      <c r="P260" s="43"/>
      <c r="Q260" s="44"/>
      <c r="R260" s="35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43"/>
      <c r="B261" s="40"/>
      <c r="C261" s="44"/>
      <c r="D261" s="45"/>
      <c r="E261" s="44"/>
      <c r="F261" s="43"/>
      <c r="G261" s="43"/>
      <c r="H261" s="43"/>
      <c r="I261" s="46"/>
      <c r="J261" s="47"/>
      <c r="K261" s="48"/>
      <c r="L261" s="49"/>
      <c r="M261" s="49"/>
      <c r="N261" s="50"/>
      <c r="O261" s="43"/>
      <c r="P261" s="43"/>
      <c r="Q261" s="44"/>
      <c r="R261" s="35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43"/>
      <c r="B262" s="40"/>
      <c r="C262" s="44"/>
      <c r="D262" s="45"/>
      <c r="E262" s="44"/>
      <c r="F262" s="43"/>
      <c r="G262" s="43"/>
      <c r="H262" s="43"/>
      <c r="I262" s="46"/>
      <c r="J262" s="47"/>
      <c r="K262" s="48"/>
      <c r="L262" s="49"/>
      <c r="M262" s="49"/>
      <c r="N262" s="50"/>
      <c r="O262" s="43"/>
      <c r="P262" s="43"/>
      <c r="Q262" s="44"/>
      <c r="R262" s="35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43"/>
      <c r="B263" s="40"/>
      <c r="C263" s="44"/>
      <c r="D263" s="45"/>
      <c r="E263" s="44"/>
      <c r="F263" s="43"/>
      <c r="G263" s="43"/>
      <c r="H263" s="43"/>
      <c r="I263" s="46"/>
      <c r="J263" s="47"/>
      <c r="K263" s="48"/>
      <c r="L263" s="49"/>
      <c r="M263" s="49"/>
      <c r="N263" s="50"/>
      <c r="O263" s="43"/>
      <c r="P263" s="43"/>
      <c r="Q263" s="44"/>
      <c r="R263" s="35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43"/>
      <c r="B264" s="40"/>
      <c r="C264" s="44"/>
      <c r="D264" s="45"/>
      <c r="E264" s="44"/>
      <c r="F264" s="43"/>
      <c r="G264" s="43"/>
      <c r="H264" s="43"/>
      <c r="I264" s="46"/>
      <c r="J264" s="47"/>
      <c r="K264" s="48"/>
      <c r="L264" s="49"/>
      <c r="M264" s="49"/>
      <c r="N264" s="50"/>
      <c r="O264" s="43"/>
      <c r="P264" s="43"/>
      <c r="Q264" s="44"/>
      <c r="R264" s="35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43"/>
      <c r="B265" s="40"/>
      <c r="C265" s="44"/>
      <c r="D265" s="45"/>
      <c r="E265" s="44"/>
      <c r="F265" s="43"/>
      <c r="G265" s="43"/>
      <c r="H265" s="43"/>
      <c r="I265" s="46"/>
      <c r="J265" s="47"/>
      <c r="K265" s="48"/>
      <c r="L265" s="49"/>
      <c r="M265" s="49"/>
      <c r="N265" s="50"/>
      <c r="O265" s="43"/>
      <c r="P265" s="43"/>
      <c r="Q265" s="44"/>
      <c r="R265" s="35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43"/>
      <c r="B266" s="40"/>
      <c r="C266" s="44"/>
      <c r="D266" s="45"/>
      <c r="E266" s="44"/>
      <c r="F266" s="43"/>
      <c r="G266" s="43"/>
      <c r="H266" s="43"/>
      <c r="I266" s="46"/>
      <c r="J266" s="47"/>
      <c r="K266" s="48"/>
      <c r="L266" s="49"/>
      <c r="M266" s="49"/>
      <c r="N266" s="50"/>
      <c r="O266" s="43"/>
      <c r="P266" s="43"/>
      <c r="Q266" s="44"/>
      <c r="R266" s="35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43"/>
      <c r="B267" s="40"/>
      <c r="C267" s="44"/>
      <c r="D267" s="45"/>
      <c r="E267" s="44"/>
      <c r="F267" s="43"/>
      <c r="G267" s="43"/>
      <c r="H267" s="43"/>
      <c r="I267" s="46"/>
      <c r="J267" s="47"/>
      <c r="K267" s="48"/>
      <c r="L267" s="49"/>
      <c r="M267" s="49"/>
      <c r="N267" s="50"/>
      <c r="O267" s="43"/>
      <c r="P267" s="43"/>
      <c r="Q267" s="44"/>
      <c r="R267" s="35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43"/>
      <c r="B268" s="40"/>
      <c r="C268" s="44"/>
      <c r="D268" s="45"/>
      <c r="E268" s="44"/>
      <c r="F268" s="43"/>
      <c r="G268" s="43"/>
      <c r="H268" s="43"/>
      <c r="I268" s="46"/>
      <c r="J268" s="47"/>
      <c r="K268" s="48"/>
      <c r="L268" s="49"/>
      <c r="M268" s="49"/>
      <c r="N268" s="50"/>
      <c r="O268" s="43"/>
      <c r="P268" s="43"/>
      <c r="Q268" s="44"/>
      <c r="R268" s="35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43"/>
      <c r="B269" s="40"/>
      <c r="C269" s="44"/>
      <c r="D269" s="45"/>
      <c r="E269" s="44"/>
      <c r="F269" s="43"/>
      <c r="G269" s="43"/>
      <c r="H269" s="43"/>
      <c r="I269" s="46"/>
      <c r="J269" s="47"/>
      <c r="K269" s="48"/>
      <c r="L269" s="49"/>
      <c r="M269" s="49"/>
      <c r="N269" s="50"/>
      <c r="O269" s="43"/>
      <c r="P269" s="43"/>
      <c r="Q269" s="44"/>
      <c r="R269" s="35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43"/>
      <c r="B270" s="40"/>
      <c r="C270" s="44"/>
      <c r="D270" s="45"/>
      <c r="E270" s="44"/>
      <c r="F270" s="43"/>
      <c r="G270" s="43"/>
      <c r="H270" s="43"/>
      <c r="I270" s="46"/>
      <c r="J270" s="47"/>
      <c r="K270" s="48"/>
      <c r="L270" s="49"/>
      <c r="M270" s="49"/>
      <c r="N270" s="50"/>
      <c r="O270" s="43"/>
      <c r="P270" s="43"/>
      <c r="Q270" s="44"/>
      <c r="R270" s="35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43"/>
      <c r="B271" s="40"/>
      <c r="C271" s="44"/>
      <c r="D271" s="45"/>
      <c r="E271" s="44"/>
      <c r="F271" s="43"/>
      <c r="G271" s="43"/>
      <c r="H271" s="43"/>
      <c r="I271" s="46"/>
      <c r="J271" s="47"/>
      <c r="K271" s="48"/>
      <c r="L271" s="49"/>
      <c r="M271" s="49"/>
      <c r="N271" s="50"/>
      <c r="O271" s="43"/>
      <c r="P271" s="43"/>
      <c r="Q271" s="44"/>
      <c r="R271" s="35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43"/>
      <c r="B272" s="40"/>
      <c r="C272" s="44"/>
      <c r="D272" s="45"/>
      <c r="E272" s="44"/>
      <c r="F272" s="43"/>
      <c r="G272" s="43"/>
      <c r="H272" s="43"/>
      <c r="I272" s="46"/>
      <c r="J272" s="47"/>
      <c r="K272" s="48"/>
      <c r="L272" s="49"/>
      <c r="M272" s="49"/>
      <c r="N272" s="50"/>
      <c r="O272" s="43"/>
      <c r="P272" s="43"/>
      <c r="Q272" s="44"/>
      <c r="R272" s="35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43"/>
      <c r="B273" s="40"/>
      <c r="C273" s="44"/>
      <c r="D273" s="45"/>
      <c r="E273" s="44"/>
      <c r="F273" s="43"/>
      <c r="G273" s="43"/>
      <c r="H273" s="43"/>
      <c r="I273" s="46"/>
      <c r="J273" s="47"/>
      <c r="K273" s="48"/>
      <c r="L273" s="49"/>
      <c r="M273" s="49"/>
      <c r="N273" s="50"/>
      <c r="O273" s="43"/>
      <c r="P273" s="43"/>
      <c r="Q273" s="44"/>
      <c r="R273" s="35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43"/>
      <c r="B274" s="40"/>
      <c r="C274" s="44"/>
      <c r="D274" s="45"/>
      <c r="E274" s="44"/>
      <c r="F274" s="43"/>
      <c r="G274" s="43"/>
      <c r="H274" s="43"/>
      <c r="I274" s="46"/>
      <c r="J274" s="47"/>
      <c r="K274" s="48"/>
      <c r="L274" s="49"/>
      <c r="M274" s="49"/>
      <c r="N274" s="50"/>
      <c r="O274" s="43"/>
      <c r="P274" s="43"/>
      <c r="Q274" s="44"/>
      <c r="R274" s="35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43"/>
      <c r="B275" s="40"/>
      <c r="C275" s="44"/>
      <c r="D275" s="45"/>
      <c r="E275" s="44"/>
      <c r="F275" s="43"/>
      <c r="G275" s="43"/>
      <c r="H275" s="43"/>
      <c r="I275" s="46"/>
      <c r="J275" s="47"/>
      <c r="K275" s="48"/>
      <c r="L275" s="49"/>
      <c r="M275" s="49"/>
      <c r="N275" s="50"/>
      <c r="O275" s="43"/>
      <c r="P275" s="43"/>
      <c r="Q275" s="44"/>
      <c r="R275" s="35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43"/>
      <c r="B276" s="40"/>
      <c r="C276" s="44"/>
      <c r="D276" s="45"/>
      <c r="E276" s="44"/>
      <c r="F276" s="43"/>
      <c r="G276" s="43"/>
      <c r="H276" s="43"/>
      <c r="I276" s="46"/>
      <c r="J276" s="47"/>
      <c r="K276" s="48"/>
      <c r="L276" s="49"/>
      <c r="M276" s="49"/>
      <c r="N276" s="50"/>
      <c r="O276" s="43"/>
      <c r="P276" s="43"/>
      <c r="Q276" s="44"/>
      <c r="R276" s="35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43"/>
      <c r="B277" s="40"/>
      <c r="C277" s="44"/>
      <c r="D277" s="45"/>
      <c r="E277" s="44"/>
      <c r="F277" s="43"/>
      <c r="G277" s="43"/>
      <c r="H277" s="43"/>
      <c r="I277" s="46"/>
      <c r="J277" s="47"/>
      <c r="K277" s="48"/>
      <c r="L277" s="49"/>
      <c r="M277" s="49"/>
      <c r="N277" s="50"/>
      <c r="O277" s="43"/>
      <c r="P277" s="43"/>
      <c r="Q277" s="44"/>
      <c r="R277" s="35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43"/>
      <c r="B278" s="40"/>
      <c r="C278" s="44"/>
      <c r="D278" s="45"/>
      <c r="E278" s="44"/>
      <c r="F278" s="43"/>
      <c r="G278" s="43"/>
      <c r="H278" s="43"/>
      <c r="I278" s="46"/>
      <c r="J278" s="47"/>
      <c r="K278" s="48"/>
      <c r="L278" s="49"/>
      <c r="M278" s="49"/>
      <c r="N278" s="50"/>
      <c r="O278" s="43"/>
      <c r="P278" s="43"/>
      <c r="Q278" s="44"/>
      <c r="R278" s="35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43"/>
      <c r="B279" s="40"/>
      <c r="C279" s="44"/>
      <c r="D279" s="45"/>
      <c r="E279" s="44"/>
      <c r="F279" s="43"/>
      <c r="G279" s="43"/>
      <c r="H279" s="43"/>
      <c r="I279" s="46"/>
      <c r="J279" s="47"/>
      <c r="K279" s="48"/>
      <c r="L279" s="49"/>
      <c r="M279" s="49"/>
      <c r="N279" s="50"/>
      <c r="O279" s="43"/>
      <c r="P279" s="43"/>
      <c r="Q279" s="44"/>
      <c r="R279" s="35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43"/>
      <c r="B280" s="40"/>
      <c r="C280" s="44"/>
      <c r="D280" s="45"/>
      <c r="E280" s="44"/>
      <c r="F280" s="43"/>
      <c r="G280" s="43"/>
      <c r="H280" s="43"/>
      <c r="I280" s="46"/>
      <c r="J280" s="47"/>
      <c r="K280" s="48"/>
      <c r="L280" s="49"/>
      <c r="M280" s="49"/>
      <c r="N280" s="50"/>
      <c r="O280" s="43"/>
      <c r="P280" s="43"/>
      <c r="Q280" s="44"/>
      <c r="R280" s="35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43"/>
      <c r="B281" s="40"/>
      <c r="C281" s="44"/>
      <c r="D281" s="45"/>
      <c r="E281" s="44"/>
      <c r="F281" s="43"/>
      <c r="G281" s="43"/>
      <c r="H281" s="43"/>
      <c r="I281" s="46"/>
      <c r="J281" s="47"/>
      <c r="K281" s="48"/>
      <c r="L281" s="49"/>
      <c r="M281" s="49"/>
      <c r="N281" s="50"/>
      <c r="O281" s="43"/>
      <c r="P281" s="43"/>
      <c r="Q281" s="44"/>
      <c r="R281" s="35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43"/>
      <c r="B282" s="40"/>
      <c r="C282" s="44"/>
      <c r="D282" s="45"/>
      <c r="E282" s="44"/>
      <c r="F282" s="43"/>
      <c r="G282" s="43"/>
      <c r="H282" s="43"/>
      <c r="I282" s="46"/>
      <c r="J282" s="47"/>
      <c r="K282" s="48"/>
      <c r="L282" s="49"/>
      <c r="M282" s="49"/>
      <c r="N282" s="50"/>
      <c r="O282" s="43"/>
      <c r="P282" s="43"/>
      <c r="Q282" s="44"/>
      <c r="R282" s="35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43"/>
      <c r="B283" s="40"/>
      <c r="C283" s="44"/>
      <c r="D283" s="45"/>
      <c r="E283" s="44"/>
      <c r="F283" s="43"/>
      <c r="G283" s="43"/>
      <c r="H283" s="43"/>
      <c r="I283" s="46"/>
      <c r="J283" s="47"/>
      <c r="K283" s="48"/>
      <c r="L283" s="49"/>
      <c r="M283" s="49"/>
      <c r="N283" s="50"/>
      <c r="O283" s="43"/>
      <c r="P283" s="43"/>
      <c r="Q283" s="44"/>
      <c r="R283" s="35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43"/>
      <c r="B284" s="40"/>
      <c r="C284" s="44"/>
      <c r="D284" s="45"/>
      <c r="E284" s="44"/>
      <c r="F284" s="43"/>
      <c r="G284" s="43"/>
      <c r="H284" s="43"/>
      <c r="I284" s="46"/>
      <c r="J284" s="47"/>
      <c r="K284" s="48"/>
      <c r="L284" s="49"/>
      <c r="M284" s="49"/>
      <c r="N284" s="50"/>
      <c r="O284" s="43"/>
      <c r="P284" s="43"/>
      <c r="Q284" s="44"/>
      <c r="R284" s="35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43"/>
      <c r="B285" s="40"/>
      <c r="C285" s="44"/>
      <c r="D285" s="45"/>
      <c r="E285" s="44"/>
      <c r="F285" s="43"/>
      <c r="G285" s="43"/>
      <c r="H285" s="43"/>
      <c r="I285" s="46"/>
      <c r="J285" s="47"/>
      <c r="K285" s="48"/>
      <c r="L285" s="49"/>
      <c r="M285" s="49"/>
      <c r="N285" s="50"/>
      <c r="O285" s="43"/>
      <c r="P285" s="43"/>
      <c r="Q285" s="44"/>
      <c r="R285" s="35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43"/>
      <c r="B286" s="40"/>
      <c r="C286" s="44"/>
      <c r="D286" s="45"/>
      <c r="E286" s="44"/>
      <c r="F286" s="43"/>
      <c r="G286" s="43"/>
      <c r="H286" s="43"/>
      <c r="I286" s="46"/>
      <c r="J286" s="47"/>
      <c r="K286" s="48"/>
      <c r="L286" s="49"/>
      <c r="M286" s="49"/>
      <c r="N286" s="50"/>
      <c r="O286" s="43"/>
      <c r="P286" s="43"/>
      <c r="Q286" s="44"/>
      <c r="R286" s="35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43"/>
      <c r="B287" s="40"/>
      <c r="C287" s="44"/>
      <c r="D287" s="45"/>
      <c r="E287" s="44"/>
      <c r="F287" s="43"/>
      <c r="G287" s="43"/>
      <c r="H287" s="43"/>
      <c r="I287" s="46"/>
      <c r="J287" s="47"/>
      <c r="K287" s="48"/>
      <c r="L287" s="49"/>
      <c r="M287" s="49"/>
      <c r="N287" s="50"/>
      <c r="O287" s="43"/>
      <c r="P287" s="43"/>
      <c r="Q287" s="44"/>
      <c r="R287" s="35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43"/>
      <c r="B288" s="40"/>
      <c r="C288" s="44"/>
      <c r="D288" s="45"/>
      <c r="E288" s="44"/>
      <c r="F288" s="43"/>
      <c r="G288" s="43"/>
      <c r="H288" s="43"/>
      <c r="I288" s="46"/>
      <c r="J288" s="47"/>
      <c r="K288" s="48"/>
      <c r="L288" s="49"/>
      <c r="M288" s="49"/>
      <c r="N288" s="50"/>
      <c r="O288" s="43"/>
      <c r="P288" s="43"/>
      <c r="Q288" s="44"/>
      <c r="R288" s="35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43"/>
      <c r="B289" s="40"/>
      <c r="C289" s="44"/>
      <c r="D289" s="45"/>
      <c r="E289" s="44"/>
      <c r="F289" s="43"/>
      <c r="G289" s="43"/>
      <c r="H289" s="43"/>
      <c r="I289" s="46"/>
      <c r="J289" s="47"/>
      <c r="K289" s="48"/>
      <c r="L289" s="49"/>
      <c r="M289" s="49"/>
      <c r="N289" s="50"/>
      <c r="O289" s="43"/>
      <c r="P289" s="43"/>
      <c r="Q289" s="44"/>
      <c r="R289" s="35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43"/>
      <c r="B290" s="40"/>
      <c r="C290" s="44"/>
      <c r="D290" s="45"/>
      <c r="E290" s="44"/>
      <c r="F290" s="43"/>
      <c r="G290" s="43"/>
      <c r="H290" s="43"/>
      <c r="I290" s="46"/>
      <c r="J290" s="47"/>
      <c r="K290" s="48"/>
      <c r="L290" s="49"/>
      <c r="M290" s="49"/>
      <c r="N290" s="50"/>
      <c r="O290" s="43"/>
      <c r="P290" s="43"/>
      <c r="Q290" s="44"/>
      <c r="R290" s="35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43"/>
      <c r="B291" s="40"/>
      <c r="C291" s="44"/>
      <c r="D291" s="45"/>
      <c r="E291" s="44"/>
      <c r="F291" s="43"/>
      <c r="G291" s="43"/>
      <c r="H291" s="43"/>
      <c r="I291" s="46"/>
      <c r="J291" s="47"/>
      <c r="K291" s="48"/>
      <c r="L291" s="49"/>
      <c r="M291" s="49"/>
      <c r="N291" s="50"/>
      <c r="O291" s="43"/>
      <c r="P291" s="43"/>
      <c r="Q291" s="44"/>
      <c r="R291" s="35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43"/>
      <c r="B292" s="40"/>
      <c r="C292" s="44"/>
      <c r="D292" s="45"/>
      <c r="E292" s="44"/>
      <c r="F292" s="43"/>
      <c r="G292" s="43"/>
      <c r="H292" s="43"/>
      <c r="I292" s="46"/>
      <c r="J292" s="47"/>
      <c r="K292" s="48"/>
      <c r="L292" s="49"/>
      <c r="M292" s="49"/>
      <c r="N292" s="50"/>
      <c r="O292" s="43"/>
      <c r="P292" s="43"/>
      <c r="Q292" s="44"/>
      <c r="R292" s="35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43"/>
      <c r="B293" s="40"/>
      <c r="C293" s="44"/>
      <c r="D293" s="45"/>
      <c r="E293" s="44"/>
      <c r="F293" s="43"/>
      <c r="G293" s="43"/>
      <c r="H293" s="43"/>
      <c r="I293" s="46"/>
      <c r="J293" s="47"/>
      <c r="K293" s="48"/>
      <c r="L293" s="49"/>
      <c r="M293" s="49"/>
      <c r="N293" s="50"/>
      <c r="O293" s="43"/>
      <c r="P293" s="43"/>
      <c r="Q293" s="44"/>
      <c r="R293" s="35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43"/>
      <c r="B294" s="40"/>
      <c r="C294" s="44"/>
      <c r="D294" s="45"/>
      <c r="E294" s="44"/>
      <c r="F294" s="43"/>
      <c r="G294" s="43"/>
      <c r="H294" s="43"/>
      <c r="I294" s="46"/>
      <c r="J294" s="47"/>
      <c r="K294" s="48"/>
      <c r="L294" s="49"/>
      <c r="M294" s="49"/>
      <c r="N294" s="50"/>
      <c r="O294" s="43"/>
      <c r="P294" s="43"/>
      <c r="Q294" s="44"/>
      <c r="R294" s="35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43"/>
      <c r="B295" s="40"/>
      <c r="C295" s="44"/>
      <c r="D295" s="45"/>
      <c r="E295" s="44"/>
      <c r="F295" s="43"/>
      <c r="G295" s="43"/>
      <c r="H295" s="43"/>
      <c r="I295" s="46"/>
      <c r="J295" s="47"/>
      <c r="K295" s="48"/>
      <c r="L295" s="49"/>
      <c r="M295" s="49"/>
      <c r="N295" s="50"/>
      <c r="O295" s="43"/>
      <c r="P295" s="43"/>
      <c r="Q295" s="44"/>
      <c r="R295" s="35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43"/>
      <c r="B296" s="40"/>
      <c r="C296" s="44"/>
      <c r="D296" s="45"/>
      <c r="E296" s="44"/>
      <c r="F296" s="43"/>
      <c r="G296" s="43"/>
      <c r="H296" s="43"/>
      <c r="I296" s="46"/>
      <c r="J296" s="47"/>
      <c r="K296" s="48"/>
      <c r="L296" s="49"/>
      <c r="M296" s="49"/>
      <c r="N296" s="50"/>
      <c r="O296" s="43"/>
      <c r="P296" s="43"/>
      <c r="Q296" s="44"/>
      <c r="R296" s="35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43"/>
      <c r="B297" s="40"/>
      <c r="C297" s="44"/>
      <c r="D297" s="45"/>
      <c r="E297" s="44"/>
      <c r="F297" s="43"/>
      <c r="G297" s="43"/>
      <c r="H297" s="43"/>
      <c r="I297" s="46"/>
      <c r="J297" s="47"/>
      <c r="K297" s="48"/>
      <c r="L297" s="49"/>
      <c r="M297" s="49"/>
      <c r="N297" s="50"/>
      <c r="O297" s="43"/>
      <c r="P297" s="43"/>
      <c r="Q297" s="44"/>
      <c r="R297" s="35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43"/>
      <c r="B298" s="40"/>
      <c r="C298" s="44"/>
      <c r="D298" s="45"/>
      <c r="E298" s="44"/>
      <c r="F298" s="43"/>
      <c r="G298" s="43"/>
      <c r="H298" s="43"/>
      <c r="I298" s="46"/>
      <c r="J298" s="47"/>
      <c r="K298" s="48"/>
      <c r="L298" s="49"/>
      <c r="M298" s="49"/>
      <c r="N298" s="50"/>
      <c r="O298" s="43"/>
      <c r="P298" s="43"/>
      <c r="Q298" s="44"/>
      <c r="R298" s="35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43"/>
      <c r="B299" s="40"/>
      <c r="C299" s="44"/>
      <c r="D299" s="45"/>
      <c r="E299" s="44"/>
      <c r="F299" s="43"/>
      <c r="G299" s="43"/>
      <c r="H299" s="43"/>
      <c r="I299" s="46"/>
      <c r="J299" s="47"/>
      <c r="K299" s="48"/>
      <c r="L299" s="49"/>
      <c r="M299" s="49"/>
      <c r="N299" s="50"/>
      <c r="O299" s="43"/>
      <c r="P299" s="43"/>
      <c r="Q299" s="44"/>
      <c r="R299" s="35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43"/>
      <c r="B300" s="40"/>
      <c r="C300" s="44"/>
      <c r="D300" s="45"/>
      <c r="E300" s="44"/>
      <c r="F300" s="43"/>
      <c r="G300" s="43"/>
      <c r="H300" s="43"/>
      <c r="I300" s="46"/>
      <c r="J300" s="47"/>
      <c r="K300" s="48"/>
      <c r="L300" s="49"/>
      <c r="M300" s="49"/>
      <c r="N300" s="50"/>
      <c r="O300" s="43"/>
      <c r="P300" s="43"/>
      <c r="Q300" s="44"/>
      <c r="R300" s="35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43"/>
      <c r="B301" s="40"/>
      <c r="C301" s="44"/>
      <c r="D301" s="45"/>
      <c r="E301" s="44"/>
      <c r="F301" s="43"/>
      <c r="G301" s="43"/>
      <c r="H301" s="43"/>
      <c r="I301" s="46"/>
      <c r="J301" s="47"/>
      <c r="K301" s="48"/>
      <c r="L301" s="49"/>
      <c r="M301" s="49"/>
      <c r="N301" s="50"/>
      <c r="O301" s="43"/>
      <c r="P301" s="43"/>
      <c r="Q301" s="44"/>
      <c r="R301" s="35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43"/>
      <c r="B302" s="40"/>
      <c r="C302" s="44"/>
      <c r="D302" s="45"/>
      <c r="E302" s="44"/>
      <c r="F302" s="43"/>
      <c r="G302" s="43"/>
      <c r="H302" s="43"/>
      <c r="I302" s="46"/>
      <c r="J302" s="47"/>
      <c r="K302" s="48"/>
      <c r="L302" s="49"/>
      <c r="M302" s="49"/>
      <c r="N302" s="50"/>
      <c r="O302" s="43"/>
      <c r="P302" s="43"/>
      <c r="Q302" s="44"/>
      <c r="R302" s="35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43"/>
      <c r="B303" s="40"/>
      <c r="C303" s="44"/>
      <c r="D303" s="45"/>
      <c r="E303" s="44"/>
      <c r="F303" s="43"/>
      <c r="G303" s="43"/>
      <c r="H303" s="43"/>
      <c r="I303" s="46"/>
      <c r="J303" s="47"/>
      <c r="K303" s="48"/>
      <c r="L303" s="49"/>
      <c r="M303" s="49"/>
      <c r="N303" s="50"/>
      <c r="O303" s="43"/>
      <c r="P303" s="43"/>
      <c r="Q303" s="44"/>
      <c r="R303" s="35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43"/>
      <c r="B304" s="40"/>
      <c r="C304" s="44"/>
      <c r="D304" s="45"/>
      <c r="E304" s="44"/>
      <c r="F304" s="43"/>
      <c r="G304" s="43"/>
      <c r="H304" s="43"/>
      <c r="I304" s="46"/>
      <c r="J304" s="47"/>
      <c r="K304" s="48"/>
      <c r="L304" s="49"/>
      <c r="M304" s="49"/>
      <c r="N304" s="50"/>
      <c r="O304" s="43"/>
      <c r="P304" s="43"/>
      <c r="Q304" s="44"/>
      <c r="R304" s="35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43"/>
      <c r="B305" s="40"/>
      <c r="C305" s="44"/>
      <c r="D305" s="45"/>
      <c r="E305" s="44"/>
      <c r="F305" s="43"/>
      <c r="G305" s="43"/>
      <c r="H305" s="43"/>
      <c r="I305" s="46"/>
      <c r="J305" s="47"/>
      <c r="K305" s="48"/>
      <c r="L305" s="49"/>
      <c r="M305" s="49"/>
      <c r="N305" s="50"/>
      <c r="O305" s="43"/>
      <c r="P305" s="43"/>
      <c r="Q305" s="44"/>
      <c r="R305" s="35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43"/>
      <c r="B306" s="40"/>
      <c r="C306" s="44"/>
      <c r="D306" s="45"/>
      <c r="E306" s="44"/>
      <c r="F306" s="43"/>
      <c r="G306" s="43"/>
      <c r="H306" s="43"/>
      <c r="I306" s="46"/>
      <c r="J306" s="47"/>
      <c r="K306" s="48"/>
      <c r="L306" s="49"/>
      <c r="M306" s="49"/>
      <c r="N306" s="50"/>
      <c r="O306" s="43"/>
      <c r="P306" s="43"/>
      <c r="Q306" s="44"/>
      <c r="R306" s="35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43"/>
      <c r="B307" s="40"/>
      <c r="C307" s="44"/>
      <c r="D307" s="45"/>
      <c r="E307" s="44"/>
      <c r="F307" s="43"/>
      <c r="G307" s="43"/>
      <c r="H307" s="43"/>
      <c r="I307" s="46"/>
      <c r="J307" s="47"/>
      <c r="K307" s="48"/>
      <c r="L307" s="49"/>
      <c r="M307" s="49"/>
      <c r="N307" s="50"/>
      <c r="O307" s="43"/>
      <c r="P307" s="43"/>
      <c r="Q307" s="44"/>
      <c r="R307" s="35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43"/>
      <c r="B308" s="40"/>
      <c r="C308" s="44"/>
      <c r="D308" s="45"/>
      <c r="E308" s="44"/>
      <c r="F308" s="43"/>
      <c r="G308" s="43"/>
      <c r="H308" s="43"/>
      <c r="I308" s="46"/>
      <c r="J308" s="47"/>
      <c r="K308" s="48"/>
      <c r="L308" s="49"/>
      <c r="M308" s="49"/>
      <c r="N308" s="50"/>
      <c r="O308" s="43"/>
      <c r="P308" s="43"/>
      <c r="Q308" s="44"/>
      <c r="R308" s="35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43"/>
      <c r="B309" s="40"/>
      <c r="C309" s="44"/>
      <c r="D309" s="45"/>
      <c r="E309" s="44"/>
      <c r="F309" s="43"/>
      <c r="G309" s="43"/>
      <c r="H309" s="43"/>
      <c r="I309" s="46"/>
      <c r="J309" s="47"/>
      <c r="K309" s="48"/>
      <c r="L309" s="49"/>
      <c r="M309" s="49"/>
      <c r="N309" s="50"/>
      <c r="O309" s="43"/>
      <c r="P309" s="43"/>
      <c r="Q309" s="44"/>
      <c r="R309" s="35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43"/>
      <c r="B310" s="40"/>
      <c r="C310" s="44"/>
      <c r="D310" s="45"/>
      <c r="E310" s="44"/>
      <c r="F310" s="43"/>
      <c r="G310" s="43"/>
      <c r="H310" s="43"/>
      <c r="I310" s="46"/>
      <c r="J310" s="47"/>
      <c r="K310" s="48"/>
      <c r="L310" s="49"/>
      <c r="M310" s="49"/>
      <c r="N310" s="50"/>
      <c r="O310" s="43"/>
      <c r="P310" s="43"/>
      <c r="Q310" s="44"/>
      <c r="R310" s="35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43"/>
      <c r="B311" s="40"/>
      <c r="C311" s="44"/>
      <c r="D311" s="45"/>
      <c r="E311" s="44"/>
      <c r="F311" s="43"/>
      <c r="G311" s="43"/>
      <c r="H311" s="43"/>
      <c r="I311" s="46"/>
      <c r="J311" s="47"/>
      <c r="K311" s="48"/>
      <c r="L311" s="49"/>
      <c r="M311" s="49"/>
      <c r="N311" s="50"/>
      <c r="O311" s="43"/>
      <c r="P311" s="43"/>
      <c r="Q311" s="44"/>
      <c r="R311" s="35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43"/>
      <c r="B312" s="40"/>
      <c r="C312" s="44"/>
      <c r="D312" s="45"/>
      <c r="E312" s="44"/>
      <c r="F312" s="43"/>
      <c r="G312" s="43"/>
      <c r="H312" s="43"/>
      <c r="I312" s="46"/>
      <c r="J312" s="47"/>
      <c r="K312" s="48"/>
      <c r="L312" s="49"/>
      <c r="M312" s="49"/>
      <c r="N312" s="50"/>
      <c r="O312" s="43"/>
      <c r="P312" s="43"/>
      <c r="Q312" s="44"/>
      <c r="R312" s="35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43"/>
      <c r="B313" s="40"/>
      <c r="C313" s="44"/>
      <c r="D313" s="45"/>
      <c r="E313" s="44"/>
      <c r="F313" s="43"/>
      <c r="G313" s="43"/>
      <c r="H313" s="43"/>
      <c r="I313" s="46"/>
      <c r="J313" s="47"/>
      <c r="K313" s="48"/>
      <c r="L313" s="49"/>
      <c r="M313" s="49"/>
      <c r="N313" s="50"/>
      <c r="O313" s="43"/>
      <c r="P313" s="43"/>
      <c r="Q313" s="44"/>
      <c r="R313" s="35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43"/>
      <c r="B314" s="40"/>
      <c r="C314" s="44"/>
      <c r="D314" s="45"/>
      <c r="E314" s="44"/>
      <c r="F314" s="43"/>
      <c r="G314" s="43"/>
      <c r="H314" s="43"/>
      <c r="I314" s="46"/>
      <c r="J314" s="47"/>
      <c r="K314" s="48"/>
      <c r="L314" s="49"/>
      <c r="M314" s="49"/>
      <c r="N314" s="50"/>
      <c r="O314" s="43"/>
      <c r="P314" s="43"/>
      <c r="Q314" s="44"/>
      <c r="R314" s="35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43"/>
      <c r="B315" s="40"/>
      <c r="C315" s="44"/>
      <c r="D315" s="45"/>
      <c r="E315" s="44"/>
      <c r="F315" s="43"/>
      <c r="G315" s="43"/>
      <c r="H315" s="43"/>
      <c r="I315" s="46"/>
      <c r="J315" s="47"/>
      <c r="K315" s="48"/>
      <c r="L315" s="49"/>
      <c r="M315" s="49"/>
      <c r="N315" s="50"/>
      <c r="O315" s="43"/>
      <c r="P315" s="43"/>
      <c r="Q315" s="44"/>
      <c r="R315" s="35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43"/>
      <c r="B316" s="40"/>
      <c r="C316" s="44"/>
      <c r="D316" s="45"/>
      <c r="E316" s="44"/>
      <c r="F316" s="43"/>
      <c r="G316" s="43"/>
      <c r="H316" s="43"/>
      <c r="I316" s="46"/>
      <c r="J316" s="47"/>
      <c r="K316" s="48"/>
      <c r="L316" s="49"/>
      <c r="M316" s="49"/>
      <c r="N316" s="50"/>
      <c r="O316" s="43"/>
      <c r="P316" s="43"/>
      <c r="Q316" s="44"/>
      <c r="R316" s="35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43"/>
      <c r="B317" s="40"/>
      <c r="C317" s="44"/>
      <c r="D317" s="45"/>
      <c r="E317" s="44"/>
      <c r="F317" s="43"/>
      <c r="G317" s="43"/>
      <c r="H317" s="43"/>
      <c r="I317" s="46"/>
      <c r="J317" s="47"/>
      <c r="K317" s="48"/>
      <c r="L317" s="49"/>
      <c r="M317" s="49"/>
      <c r="N317" s="50"/>
      <c r="O317" s="43"/>
      <c r="P317" s="43"/>
      <c r="Q317" s="44"/>
      <c r="R317" s="35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43"/>
      <c r="B318" s="40"/>
      <c r="C318" s="44"/>
      <c r="D318" s="45"/>
      <c r="E318" s="44"/>
      <c r="F318" s="43"/>
      <c r="G318" s="43"/>
      <c r="H318" s="43"/>
      <c r="I318" s="46"/>
      <c r="J318" s="47"/>
      <c r="K318" s="48"/>
      <c r="L318" s="49"/>
      <c r="M318" s="49"/>
      <c r="N318" s="50"/>
      <c r="O318" s="43"/>
      <c r="P318" s="43"/>
      <c r="Q318" s="44"/>
      <c r="R318" s="35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43"/>
      <c r="B319" s="40"/>
      <c r="C319" s="44"/>
      <c r="D319" s="45"/>
      <c r="E319" s="44"/>
      <c r="F319" s="43"/>
      <c r="G319" s="43"/>
      <c r="H319" s="43"/>
      <c r="I319" s="46"/>
      <c r="J319" s="47"/>
      <c r="K319" s="48"/>
      <c r="L319" s="49"/>
      <c r="M319" s="49"/>
      <c r="N319" s="50"/>
      <c r="O319" s="43"/>
      <c r="P319" s="43"/>
      <c r="Q319" s="44"/>
      <c r="R319" s="35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43"/>
      <c r="B320" s="40"/>
      <c r="C320" s="44"/>
      <c r="D320" s="45"/>
      <c r="E320" s="44"/>
      <c r="F320" s="43"/>
      <c r="G320" s="43"/>
      <c r="H320" s="43"/>
      <c r="I320" s="46"/>
      <c r="J320" s="47"/>
      <c r="K320" s="48"/>
      <c r="L320" s="49"/>
      <c r="M320" s="49"/>
      <c r="N320" s="50"/>
      <c r="O320" s="43"/>
      <c r="P320" s="43"/>
      <c r="Q320" s="44"/>
      <c r="R320" s="35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43"/>
      <c r="B321" s="40"/>
      <c r="C321" s="44"/>
      <c r="D321" s="45"/>
      <c r="E321" s="44"/>
      <c r="F321" s="43"/>
      <c r="G321" s="43"/>
      <c r="H321" s="43"/>
      <c r="I321" s="46"/>
      <c r="J321" s="47"/>
      <c r="K321" s="48"/>
      <c r="L321" s="49"/>
      <c r="M321" s="49"/>
      <c r="N321" s="50"/>
      <c r="O321" s="43"/>
      <c r="P321" s="43"/>
      <c r="Q321" s="44"/>
      <c r="R321" s="35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43"/>
      <c r="B322" s="40"/>
      <c r="C322" s="44"/>
      <c r="D322" s="45"/>
      <c r="E322" s="44"/>
      <c r="F322" s="43"/>
      <c r="G322" s="43"/>
      <c r="H322" s="43"/>
      <c r="I322" s="46"/>
      <c r="J322" s="47"/>
      <c r="K322" s="48"/>
      <c r="L322" s="49"/>
      <c r="M322" s="49"/>
      <c r="N322" s="50"/>
      <c r="O322" s="43"/>
      <c r="P322" s="43"/>
      <c r="Q322" s="44"/>
      <c r="R322" s="35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43"/>
      <c r="B323" s="40"/>
      <c r="C323" s="44"/>
      <c r="D323" s="45"/>
      <c r="E323" s="44"/>
      <c r="F323" s="43"/>
      <c r="G323" s="43"/>
      <c r="H323" s="43"/>
      <c r="I323" s="46"/>
      <c r="J323" s="47"/>
      <c r="K323" s="48"/>
      <c r="L323" s="49"/>
      <c r="M323" s="49"/>
      <c r="N323" s="50"/>
      <c r="O323" s="43"/>
      <c r="P323" s="43"/>
      <c r="Q323" s="44"/>
      <c r="R323" s="35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43"/>
      <c r="B324" s="40"/>
      <c r="C324" s="44"/>
      <c r="D324" s="45"/>
      <c r="E324" s="44"/>
      <c r="F324" s="43"/>
      <c r="G324" s="43"/>
      <c r="H324" s="43"/>
      <c r="I324" s="46"/>
      <c r="J324" s="47"/>
      <c r="K324" s="48"/>
      <c r="L324" s="49"/>
      <c r="M324" s="49"/>
      <c r="N324" s="50"/>
      <c r="O324" s="43"/>
      <c r="P324" s="43"/>
      <c r="Q324" s="44"/>
      <c r="R324" s="35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43"/>
      <c r="B325" s="40"/>
      <c r="C325" s="44"/>
      <c r="D325" s="45"/>
      <c r="E325" s="44"/>
      <c r="F325" s="43"/>
      <c r="G325" s="43"/>
      <c r="H325" s="43"/>
      <c r="I325" s="46"/>
      <c r="J325" s="47"/>
      <c r="K325" s="48"/>
      <c r="L325" s="49"/>
      <c r="M325" s="49"/>
      <c r="N325" s="50"/>
      <c r="O325" s="43"/>
      <c r="P325" s="43"/>
      <c r="Q325" s="44"/>
      <c r="R325" s="35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43"/>
      <c r="B326" s="40"/>
      <c r="C326" s="44"/>
      <c r="D326" s="45"/>
      <c r="E326" s="44"/>
      <c r="F326" s="43"/>
      <c r="G326" s="43"/>
      <c r="H326" s="43"/>
      <c r="I326" s="46"/>
      <c r="J326" s="47"/>
      <c r="K326" s="48"/>
      <c r="L326" s="49"/>
      <c r="M326" s="49"/>
      <c r="N326" s="50"/>
      <c r="O326" s="43"/>
      <c r="P326" s="43"/>
      <c r="Q326" s="44"/>
      <c r="R326" s="35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43"/>
      <c r="B327" s="40"/>
      <c r="C327" s="44"/>
      <c r="D327" s="45"/>
      <c r="E327" s="44"/>
      <c r="F327" s="43"/>
      <c r="G327" s="43"/>
      <c r="H327" s="43"/>
      <c r="I327" s="46"/>
      <c r="J327" s="47"/>
      <c r="K327" s="48"/>
      <c r="L327" s="49"/>
      <c r="M327" s="49"/>
      <c r="N327" s="50"/>
      <c r="O327" s="43"/>
      <c r="P327" s="43"/>
      <c r="Q327" s="44"/>
      <c r="R327" s="35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43"/>
      <c r="B328" s="40"/>
      <c r="C328" s="44"/>
      <c r="D328" s="45"/>
      <c r="E328" s="44"/>
      <c r="F328" s="43"/>
      <c r="G328" s="43"/>
      <c r="H328" s="43"/>
      <c r="I328" s="46"/>
      <c r="J328" s="47"/>
      <c r="K328" s="48"/>
      <c r="L328" s="49"/>
      <c r="M328" s="49"/>
      <c r="N328" s="50"/>
      <c r="O328" s="43"/>
      <c r="P328" s="43"/>
      <c r="Q328" s="44"/>
      <c r="R328" s="35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43"/>
      <c r="B329" s="40"/>
      <c r="C329" s="44"/>
      <c r="D329" s="45"/>
      <c r="E329" s="44"/>
      <c r="F329" s="43"/>
      <c r="G329" s="43"/>
      <c r="H329" s="43"/>
      <c r="I329" s="46"/>
      <c r="J329" s="47"/>
      <c r="K329" s="48"/>
      <c r="L329" s="49"/>
      <c r="M329" s="49"/>
      <c r="N329" s="50"/>
      <c r="O329" s="43"/>
      <c r="P329" s="43"/>
      <c r="Q329" s="44"/>
      <c r="R329" s="35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43"/>
      <c r="B330" s="40"/>
      <c r="C330" s="44"/>
      <c r="D330" s="45"/>
      <c r="E330" s="44"/>
      <c r="F330" s="43"/>
      <c r="G330" s="43"/>
      <c r="H330" s="43"/>
      <c r="I330" s="46"/>
      <c r="J330" s="47"/>
      <c r="K330" s="48"/>
      <c r="L330" s="49"/>
      <c r="M330" s="49"/>
      <c r="N330" s="50"/>
      <c r="O330" s="43"/>
      <c r="P330" s="43"/>
      <c r="Q330" s="44"/>
      <c r="R330" s="35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43"/>
      <c r="B331" s="40"/>
      <c r="C331" s="44"/>
      <c r="D331" s="45"/>
      <c r="E331" s="44"/>
      <c r="F331" s="43"/>
      <c r="G331" s="43"/>
      <c r="H331" s="43"/>
      <c r="I331" s="46"/>
      <c r="J331" s="47"/>
      <c r="K331" s="48"/>
      <c r="L331" s="49"/>
      <c r="M331" s="49"/>
      <c r="N331" s="50"/>
      <c r="O331" s="43"/>
      <c r="P331" s="43"/>
      <c r="Q331" s="44"/>
      <c r="R331" s="35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43"/>
      <c r="B332" s="40"/>
      <c r="C332" s="44"/>
      <c r="D332" s="45"/>
      <c r="E332" s="44"/>
      <c r="F332" s="43"/>
      <c r="G332" s="43"/>
      <c r="H332" s="43"/>
      <c r="I332" s="46"/>
      <c r="J332" s="47"/>
      <c r="K332" s="48"/>
      <c r="L332" s="49"/>
      <c r="M332" s="49"/>
      <c r="N332" s="50"/>
      <c r="O332" s="43"/>
      <c r="P332" s="43"/>
      <c r="Q332" s="44"/>
      <c r="R332" s="35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43"/>
      <c r="B333" s="40"/>
      <c r="C333" s="44"/>
      <c r="D333" s="45"/>
      <c r="E333" s="44"/>
      <c r="F333" s="43"/>
      <c r="G333" s="43"/>
      <c r="H333" s="43"/>
      <c r="I333" s="46"/>
      <c r="J333" s="47"/>
      <c r="K333" s="48"/>
      <c r="L333" s="49"/>
      <c r="M333" s="49"/>
      <c r="N333" s="50"/>
      <c r="O333" s="43"/>
      <c r="P333" s="43"/>
      <c r="Q333" s="44"/>
      <c r="R333" s="35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43"/>
      <c r="B334" s="40"/>
      <c r="C334" s="44"/>
      <c r="D334" s="45"/>
      <c r="E334" s="44"/>
      <c r="F334" s="43"/>
      <c r="G334" s="43"/>
      <c r="H334" s="43"/>
      <c r="I334" s="46"/>
      <c r="J334" s="47"/>
      <c r="K334" s="48"/>
      <c r="L334" s="49"/>
      <c r="M334" s="49"/>
      <c r="N334" s="50"/>
      <c r="O334" s="43"/>
      <c r="P334" s="43"/>
      <c r="Q334" s="44"/>
      <c r="R334" s="35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43"/>
      <c r="B335" s="40"/>
      <c r="C335" s="44"/>
      <c r="D335" s="45"/>
      <c r="E335" s="44"/>
      <c r="F335" s="43"/>
      <c r="G335" s="43"/>
      <c r="H335" s="43"/>
      <c r="I335" s="46"/>
      <c r="J335" s="47"/>
      <c r="K335" s="48"/>
      <c r="L335" s="49"/>
      <c r="M335" s="49"/>
      <c r="N335" s="50"/>
      <c r="O335" s="43"/>
      <c r="P335" s="43"/>
      <c r="Q335" s="44"/>
      <c r="R335" s="35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43"/>
      <c r="B336" s="40"/>
      <c r="C336" s="44"/>
      <c r="D336" s="45"/>
      <c r="E336" s="44"/>
      <c r="F336" s="43"/>
      <c r="G336" s="43"/>
      <c r="H336" s="43"/>
      <c r="I336" s="46"/>
      <c r="J336" s="47"/>
      <c r="K336" s="48"/>
      <c r="L336" s="49"/>
      <c r="M336" s="49"/>
      <c r="N336" s="50"/>
      <c r="O336" s="43"/>
      <c r="P336" s="43"/>
      <c r="Q336" s="44"/>
      <c r="R336" s="35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43"/>
      <c r="B337" s="40"/>
      <c r="C337" s="44"/>
      <c r="D337" s="45"/>
      <c r="E337" s="44"/>
      <c r="F337" s="43"/>
      <c r="G337" s="43"/>
      <c r="H337" s="43"/>
      <c r="I337" s="46"/>
      <c r="J337" s="47"/>
      <c r="K337" s="48"/>
      <c r="L337" s="49"/>
      <c r="M337" s="49"/>
      <c r="N337" s="50"/>
      <c r="O337" s="43"/>
      <c r="P337" s="43"/>
      <c r="Q337" s="44"/>
      <c r="R337" s="35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43"/>
      <c r="B338" s="40"/>
      <c r="C338" s="44"/>
      <c r="D338" s="45"/>
      <c r="E338" s="44"/>
      <c r="F338" s="43"/>
      <c r="G338" s="43"/>
      <c r="H338" s="43"/>
      <c r="I338" s="46"/>
      <c r="J338" s="47"/>
      <c r="K338" s="48"/>
      <c r="L338" s="49"/>
      <c r="M338" s="49"/>
      <c r="N338" s="50"/>
      <c r="O338" s="43"/>
      <c r="P338" s="43"/>
      <c r="Q338" s="44"/>
      <c r="R338" s="35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43"/>
      <c r="B339" s="40"/>
      <c r="C339" s="44"/>
      <c r="D339" s="45"/>
      <c r="E339" s="44"/>
      <c r="F339" s="43"/>
      <c r="G339" s="43"/>
      <c r="H339" s="43"/>
      <c r="I339" s="46"/>
      <c r="J339" s="47"/>
      <c r="K339" s="48"/>
      <c r="L339" s="49"/>
      <c r="M339" s="49"/>
      <c r="N339" s="50"/>
      <c r="O339" s="43"/>
      <c r="P339" s="43"/>
      <c r="Q339" s="44"/>
      <c r="R339" s="35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43"/>
      <c r="B340" s="40"/>
      <c r="C340" s="44"/>
      <c r="D340" s="45"/>
      <c r="E340" s="44"/>
      <c r="F340" s="43"/>
      <c r="G340" s="43"/>
      <c r="H340" s="43"/>
      <c r="I340" s="46"/>
      <c r="J340" s="47"/>
      <c r="K340" s="48"/>
      <c r="L340" s="49"/>
      <c r="M340" s="49"/>
      <c r="N340" s="50"/>
      <c r="O340" s="43"/>
      <c r="P340" s="43"/>
      <c r="Q340" s="44"/>
      <c r="R340" s="35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43"/>
      <c r="B341" s="40"/>
      <c r="C341" s="44"/>
      <c r="D341" s="45"/>
      <c r="E341" s="44"/>
      <c r="F341" s="43"/>
      <c r="G341" s="43"/>
      <c r="H341" s="43"/>
      <c r="I341" s="46"/>
      <c r="J341" s="47"/>
      <c r="K341" s="48"/>
      <c r="L341" s="49"/>
      <c r="M341" s="49"/>
      <c r="N341" s="50"/>
      <c r="O341" s="43"/>
      <c r="P341" s="43"/>
      <c r="Q341" s="44"/>
      <c r="R341" s="35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43"/>
      <c r="B342" s="40"/>
      <c r="C342" s="44"/>
      <c r="D342" s="45"/>
      <c r="E342" s="44"/>
      <c r="F342" s="43"/>
      <c r="G342" s="43"/>
      <c r="H342" s="43"/>
      <c r="I342" s="46"/>
      <c r="J342" s="47"/>
      <c r="K342" s="48"/>
      <c r="L342" s="49"/>
      <c r="M342" s="49"/>
      <c r="N342" s="50"/>
      <c r="O342" s="43"/>
      <c r="P342" s="43"/>
      <c r="Q342" s="44"/>
      <c r="R342" s="35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43"/>
      <c r="B343" s="40"/>
      <c r="C343" s="44"/>
      <c r="D343" s="45"/>
      <c r="E343" s="44"/>
      <c r="F343" s="43"/>
      <c r="G343" s="43"/>
      <c r="H343" s="43"/>
      <c r="I343" s="46"/>
      <c r="J343" s="47"/>
      <c r="K343" s="48"/>
      <c r="L343" s="49"/>
      <c r="M343" s="49"/>
      <c r="N343" s="50"/>
      <c r="O343" s="43"/>
      <c r="P343" s="43"/>
      <c r="Q343" s="44"/>
      <c r="R343" s="35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43"/>
      <c r="B344" s="40"/>
      <c r="C344" s="44"/>
      <c r="D344" s="45"/>
      <c r="E344" s="44"/>
      <c r="F344" s="43"/>
      <c r="G344" s="43"/>
      <c r="H344" s="43"/>
      <c r="I344" s="46"/>
      <c r="J344" s="47"/>
      <c r="K344" s="48"/>
      <c r="L344" s="49"/>
      <c r="M344" s="49"/>
      <c r="N344" s="50"/>
      <c r="O344" s="43"/>
      <c r="P344" s="43"/>
      <c r="Q344" s="44"/>
      <c r="R344" s="35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43"/>
      <c r="B345" s="40"/>
      <c r="C345" s="44"/>
      <c r="D345" s="45"/>
      <c r="E345" s="44"/>
      <c r="F345" s="43"/>
      <c r="G345" s="43"/>
      <c r="H345" s="43"/>
      <c r="I345" s="46"/>
      <c r="J345" s="47"/>
      <c r="K345" s="48"/>
      <c r="L345" s="49"/>
      <c r="M345" s="49"/>
      <c r="N345" s="50"/>
      <c r="O345" s="43"/>
      <c r="P345" s="43"/>
      <c r="Q345" s="44"/>
      <c r="R345" s="35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43"/>
      <c r="B346" s="40"/>
      <c r="C346" s="44"/>
      <c r="D346" s="45"/>
      <c r="E346" s="44"/>
      <c r="F346" s="43"/>
      <c r="G346" s="43"/>
      <c r="H346" s="43"/>
      <c r="I346" s="46"/>
      <c r="J346" s="47"/>
      <c r="K346" s="48"/>
      <c r="L346" s="49"/>
      <c r="M346" s="49"/>
      <c r="N346" s="50"/>
      <c r="O346" s="43"/>
      <c r="P346" s="43"/>
      <c r="Q346" s="44"/>
      <c r="R346" s="35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43"/>
      <c r="B347" s="40"/>
      <c r="C347" s="44"/>
      <c r="D347" s="45"/>
      <c r="E347" s="44"/>
      <c r="F347" s="43"/>
      <c r="G347" s="43"/>
      <c r="H347" s="43"/>
      <c r="I347" s="46"/>
      <c r="J347" s="47"/>
      <c r="K347" s="48"/>
      <c r="L347" s="49"/>
      <c r="M347" s="49"/>
      <c r="N347" s="50"/>
      <c r="O347" s="43"/>
      <c r="P347" s="43"/>
      <c r="Q347" s="44"/>
      <c r="R347" s="35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43"/>
      <c r="B348" s="40"/>
      <c r="C348" s="44"/>
      <c r="D348" s="45"/>
      <c r="E348" s="44"/>
      <c r="F348" s="43"/>
      <c r="G348" s="43"/>
      <c r="H348" s="43"/>
      <c r="I348" s="46"/>
      <c r="J348" s="47"/>
      <c r="K348" s="48"/>
      <c r="L348" s="49"/>
      <c r="M348" s="49"/>
      <c r="N348" s="50"/>
      <c r="O348" s="43"/>
      <c r="P348" s="43"/>
      <c r="Q348" s="44"/>
      <c r="R348" s="35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43"/>
      <c r="B349" s="40"/>
      <c r="C349" s="44"/>
      <c r="D349" s="45"/>
      <c r="E349" s="44"/>
      <c r="F349" s="43"/>
      <c r="G349" s="43"/>
      <c r="H349" s="43"/>
      <c r="I349" s="46"/>
      <c r="J349" s="47"/>
      <c r="K349" s="48"/>
      <c r="L349" s="49"/>
      <c r="M349" s="49"/>
      <c r="N349" s="50"/>
      <c r="O349" s="43"/>
      <c r="P349" s="43"/>
      <c r="Q349" s="44"/>
      <c r="R349" s="35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43"/>
      <c r="B350" s="40"/>
      <c r="C350" s="44"/>
      <c r="D350" s="45"/>
      <c r="E350" s="44"/>
      <c r="F350" s="43"/>
      <c r="G350" s="43"/>
      <c r="H350" s="43"/>
      <c r="I350" s="46"/>
      <c r="J350" s="47"/>
      <c r="K350" s="48"/>
      <c r="L350" s="49"/>
      <c r="M350" s="49"/>
      <c r="N350" s="50"/>
      <c r="O350" s="43"/>
      <c r="P350" s="43"/>
      <c r="Q350" s="44"/>
      <c r="R350" s="35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43"/>
      <c r="B351" s="40"/>
      <c r="C351" s="44"/>
      <c r="D351" s="45"/>
      <c r="E351" s="44"/>
      <c r="F351" s="43"/>
      <c r="G351" s="43"/>
      <c r="H351" s="43"/>
      <c r="I351" s="46"/>
      <c r="J351" s="47"/>
      <c r="K351" s="48"/>
      <c r="L351" s="49"/>
      <c r="M351" s="49"/>
      <c r="N351" s="50"/>
      <c r="O351" s="43"/>
      <c r="P351" s="43"/>
      <c r="Q351" s="44"/>
      <c r="R351" s="35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43"/>
      <c r="B352" s="40"/>
      <c r="C352" s="44"/>
      <c r="D352" s="45"/>
      <c r="E352" s="44"/>
      <c r="F352" s="43"/>
      <c r="G352" s="43"/>
      <c r="H352" s="43"/>
      <c r="I352" s="46"/>
      <c r="J352" s="47"/>
      <c r="K352" s="48"/>
      <c r="L352" s="49"/>
      <c r="M352" s="49"/>
      <c r="N352" s="50"/>
      <c r="O352" s="43"/>
      <c r="P352" s="43"/>
      <c r="Q352" s="44"/>
      <c r="R352" s="35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43"/>
      <c r="B353" s="40"/>
      <c r="C353" s="44"/>
      <c r="D353" s="45"/>
      <c r="E353" s="44"/>
      <c r="F353" s="43"/>
      <c r="G353" s="43"/>
      <c r="H353" s="43"/>
      <c r="I353" s="46"/>
      <c r="J353" s="47"/>
      <c r="K353" s="48"/>
      <c r="L353" s="49"/>
      <c r="M353" s="49"/>
      <c r="N353" s="50"/>
      <c r="O353" s="43"/>
      <c r="P353" s="43"/>
      <c r="Q353" s="44"/>
      <c r="R353" s="35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43"/>
      <c r="B354" s="40"/>
      <c r="C354" s="44"/>
      <c r="D354" s="45"/>
      <c r="E354" s="44"/>
      <c r="F354" s="43"/>
      <c r="G354" s="43"/>
      <c r="H354" s="43"/>
      <c r="I354" s="46"/>
      <c r="J354" s="47"/>
      <c r="K354" s="48"/>
      <c r="L354" s="49"/>
      <c r="M354" s="49"/>
      <c r="N354" s="50"/>
      <c r="O354" s="43"/>
      <c r="P354" s="43"/>
      <c r="Q354" s="44"/>
      <c r="R354" s="35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43"/>
      <c r="B355" s="40"/>
      <c r="C355" s="44"/>
      <c r="D355" s="45"/>
      <c r="E355" s="44"/>
      <c r="F355" s="43"/>
      <c r="G355" s="43"/>
      <c r="H355" s="43"/>
      <c r="I355" s="46"/>
      <c r="J355" s="47"/>
      <c r="K355" s="48"/>
      <c r="L355" s="49"/>
      <c r="M355" s="49"/>
      <c r="N355" s="50"/>
      <c r="O355" s="43"/>
      <c r="P355" s="43"/>
      <c r="Q355" s="44"/>
      <c r="R355" s="35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43"/>
      <c r="B356" s="40"/>
      <c r="C356" s="44"/>
      <c r="D356" s="45"/>
      <c r="E356" s="44"/>
      <c r="F356" s="43"/>
      <c r="G356" s="43"/>
      <c r="H356" s="43"/>
      <c r="I356" s="46"/>
      <c r="J356" s="47"/>
      <c r="K356" s="48"/>
      <c r="L356" s="49"/>
      <c r="M356" s="49"/>
      <c r="N356" s="50"/>
      <c r="O356" s="43"/>
      <c r="P356" s="43"/>
      <c r="Q356" s="44"/>
      <c r="R356" s="35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43"/>
      <c r="B357" s="40"/>
      <c r="C357" s="44"/>
      <c r="D357" s="45"/>
      <c r="E357" s="44"/>
      <c r="F357" s="43"/>
      <c r="G357" s="43"/>
      <c r="H357" s="43"/>
      <c r="I357" s="46"/>
      <c r="J357" s="47"/>
      <c r="K357" s="48"/>
      <c r="L357" s="49"/>
      <c r="M357" s="49"/>
      <c r="N357" s="50"/>
      <c r="O357" s="43"/>
      <c r="P357" s="43"/>
      <c r="Q357" s="44"/>
      <c r="R357" s="35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43"/>
      <c r="B358" s="40"/>
      <c r="C358" s="44"/>
      <c r="D358" s="45"/>
      <c r="E358" s="44"/>
      <c r="F358" s="43"/>
      <c r="G358" s="43"/>
      <c r="H358" s="43"/>
      <c r="I358" s="46"/>
      <c r="J358" s="47"/>
      <c r="K358" s="48"/>
      <c r="L358" s="49"/>
      <c r="M358" s="49"/>
      <c r="N358" s="50"/>
      <c r="O358" s="43"/>
      <c r="P358" s="43"/>
      <c r="Q358" s="44"/>
      <c r="R358" s="35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43"/>
      <c r="B359" s="40"/>
      <c r="C359" s="44"/>
      <c r="D359" s="45"/>
      <c r="E359" s="44"/>
      <c r="F359" s="43"/>
      <c r="G359" s="43"/>
      <c r="H359" s="43"/>
      <c r="I359" s="46"/>
      <c r="J359" s="47"/>
      <c r="K359" s="48"/>
      <c r="L359" s="49"/>
      <c r="M359" s="49"/>
      <c r="N359" s="50"/>
      <c r="O359" s="43"/>
      <c r="P359" s="43"/>
      <c r="Q359" s="44"/>
      <c r="R359" s="35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43"/>
      <c r="B360" s="40"/>
      <c r="C360" s="44"/>
      <c r="D360" s="45"/>
      <c r="E360" s="44"/>
      <c r="F360" s="43"/>
      <c r="G360" s="43"/>
      <c r="H360" s="43"/>
      <c r="I360" s="46"/>
      <c r="J360" s="47"/>
      <c r="K360" s="48"/>
      <c r="L360" s="49"/>
      <c r="M360" s="49"/>
      <c r="N360" s="50"/>
      <c r="O360" s="43"/>
      <c r="P360" s="43"/>
      <c r="Q360" s="44"/>
      <c r="R360" s="35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43"/>
      <c r="B361" s="40"/>
      <c r="C361" s="44"/>
      <c r="D361" s="45"/>
      <c r="E361" s="44"/>
      <c r="F361" s="43"/>
      <c r="G361" s="43"/>
      <c r="H361" s="43"/>
      <c r="I361" s="46"/>
      <c r="J361" s="47"/>
      <c r="K361" s="48"/>
      <c r="L361" s="49"/>
      <c r="M361" s="49"/>
      <c r="N361" s="50"/>
      <c r="O361" s="43"/>
      <c r="P361" s="43"/>
      <c r="Q361" s="44"/>
      <c r="R361" s="35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43"/>
      <c r="B362" s="40"/>
      <c r="C362" s="44"/>
      <c r="D362" s="45"/>
      <c r="E362" s="44"/>
      <c r="F362" s="43"/>
      <c r="G362" s="43"/>
      <c r="H362" s="43"/>
      <c r="I362" s="46"/>
      <c r="J362" s="47"/>
      <c r="K362" s="48"/>
      <c r="L362" s="49"/>
      <c r="M362" s="49"/>
      <c r="N362" s="50"/>
      <c r="O362" s="43"/>
      <c r="P362" s="43"/>
      <c r="Q362" s="44"/>
      <c r="R362" s="35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43"/>
      <c r="B363" s="40"/>
      <c r="C363" s="44"/>
      <c r="D363" s="45"/>
      <c r="E363" s="44"/>
      <c r="F363" s="43"/>
      <c r="G363" s="43"/>
      <c r="H363" s="43"/>
      <c r="I363" s="46"/>
      <c r="J363" s="47"/>
      <c r="K363" s="48"/>
      <c r="L363" s="49"/>
      <c r="M363" s="49"/>
      <c r="N363" s="50"/>
      <c r="O363" s="43"/>
      <c r="P363" s="43"/>
      <c r="Q363" s="44"/>
      <c r="R363" s="35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43"/>
      <c r="B364" s="40"/>
      <c r="C364" s="44"/>
      <c r="D364" s="45"/>
      <c r="E364" s="44"/>
      <c r="F364" s="43"/>
      <c r="G364" s="43"/>
      <c r="H364" s="43"/>
      <c r="I364" s="46"/>
      <c r="J364" s="47"/>
      <c r="K364" s="48"/>
      <c r="L364" s="49"/>
      <c r="M364" s="49"/>
      <c r="N364" s="50"/>
      <c r="O364" s="43"/>
      <c r="P364" s="43"/>
      <c r="Q364" s="44"/>
      <c r="R364" s="35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43"/>
      <c r="B365" s="40"/>
      <c r="C365" s="44"/>
      <c r="D365" s="45"/>
      <c r="E365" s="44"/>
      <c r="F365" s="43"/>
      <c r="G365" s="43"/>
      <c r="H365" s="43"/>
      <c r="I365" s="46"/>
      <c r="J365" s="47"/>
      <c r="K365" s="48"/>
      <c r="L365" s="49"/>
      <c r="M365" s="49"/>
      <c r="N365" s="50"/>
      <c r="O365" s="43"/>
      <c r="P365" s="43"/>
      <c r="Q365" s="44"/>
      <c r="R365" s="35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43"/>
      <c r="B366" s="40"/>
      <c r="C366" s="44"/>
      <c r="D366" s="45"/>
      <c r="E366" s="44"/>
      <c r="F366" s="43"/>
      <c r="G366" s="43"/>
      <c r="H366" s="43"/>
      <c r="I366" s="46"/>
      <c r="J366" s="47"/>
      <c r="K366" s="48"/>
      <c r="L366" s="49"/>
      <c r="M366" s="49"/>
      <c r="N366" s="50"/>
      <c r="O366" s="43"/>
      <c r="P366" s="43"/>
      <c r="Q366" s="44"/>
      <c r="R366" s="35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43"/>
      <c r="B367" s="40"/>
      <c r="C367" s="44"/>
      <c r="D367" s="45"/>
      <c r="E367" s="44"/>
      <c r="F367" s="43"/>
      <c r="G367" s="43"/>
      <c r="H367" s="43"/>
      <c r="I367" s="46"/>
      <c r="J367" s="47"/>
      <c r="K367" s="48"/>
      <c r="L367" s="49"/>
      <c r="M367" s="49"/>
      <c r="N367" s="50"/>
      <c r="O367" s="43"/>
      <c r="P367" s="43"/>
      <c r="Q367" s="44"/>
      <c r="R367" s="35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43"/>
      <c r="B368" s="40"/>
      <c r="C368" s="44"/>
      <c r="D368" s="45"/>
      <c r="E368" s="44"/>
      <c r="F368" s="43"/>
      <c r="G368" s="43"/>
      <c r="H368" s="43"/>
      <c r="I368" s="46"/>
      <c r="J368" s="47"/>
      <c r="K368" s="48"/>
      <c r="L368" s="49"/>
      <c r="M368" s="49"/>
      <c r="N368" s="50"/>
      <c r="O368" s="43"/>
      <c r="P368" s="43"/>
      <c r="Q368" s="44"/>
      <c r="R368" s="35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43"/>
      <c r="B369" s="40"/>
      <c r="C369" s="44"/>
      <c r="D369" s="45"/>
      <c r="E369" s="44"/>
      <c r="F369" s="43"/>
      <c r="G369" s="43"/>
      <c r="H369" s="43"/>
      <c r="I369" s="46"/>
      <c r="J369" s="47"/>
      <c r="K369" s="48"/>
      <c r="L369" s="49"/>
      <c r="M369" s="49"/>
      <c r="N369" s="50"/>
      <c r="O369" s="43"/>
      <c r="P369" s="43"/>
      <c r="Q369" s="44"/>
      <c r="R369" s="35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43"/>
      <c r="B370" s="40"/>
      <c r="C370" s="44"/>
      <c r="D370" s="45"/>
      <c r="E370" s="44"/>
      <c r="F370" s="43"/>
      <c r="G370" s="43"/>
      <c r="H370" s="43"/>
      <c r="I370" s="46"/>
      <c r="J370" s="47"/>
      <c r="K370" s="48"/>
      <c r="L370" s="49"/>
      <c r="M370" s="49"/>
      <c r="N370" s="50"/>
      <c r="O370" s="43"/>
      <c r="P370" s="43"/>
      <c r="Q370" s="44"/>
      <c r="R370" s="35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43"/>
      <c r="B371" s="40"/>
      <c r="C371" s="44"/>
      <c r="D371" s="45"/>
      <c r="E371" s="44"/>
      <c r="F371" s="43"/>
      <c r="G371" s="43"/>
      <c r="H371" s="43"/>
      <c r="I371" s="46"/>
      <c r="J371" s="47"/>
      <c r="K371" s="48"/>
      <c r="L371" s="49"/>
      <c r="M371" s="49"/>
      <c r="N371" s="50"/>
      <c r="O371" s="43"/>
      <c r="P371" s="43"/>
      <c r="Q371" s="44"/>
      <c r="R371" s="35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43"/>
      <c r="B372" s="40"/>
      <c r="C372" s="44"/>
      <c r="D372" s="45"/>
      <c r="E372" s="44"/>
      <c r="F372" s="43"/>
      <c r="G372" s="43"/>
      <c r="H372" s="43"/>
      <c r="I372" s="46"/>
      <c r="J372" s="47"/>
      <c r="K372" s="48"/>
      <c r="L372" s="49"/>
      <c r="M372" s="49"/>
      <c r="N372" s="50"/>
      <c r="O372" s="43"/>
      <c r="P372" s="43"/>
      <c r="Q372" s="44"/>
      <c r="R372" s="35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43"/>
      <c r="B373" s="40"/>
      <c r="C373" s="44"/>
      <c r="D373" s="45"/>
      <c r="E373" s="44"/>
      <c r="F373" s="43"/>
      <c r="G373" s="43"/>
      <c r="H373" s="43"/>
      <c r="I373" s="46"/>
      <c r="J373" s="47"/>
      <c r="K373" s="48"/>
      <c r="L373" s="49"/>
      <c r="M373" s="49"/>
      <c r="N373" s="50"/>
      <c r="O373" s="43"/>
      <c r="P373" s="43"/>
      <c r="Q373" s="44"/>
      <c r="R373" s="35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43"/>
      <c r="B374" s="40"/>
      <c r="C374" s="44"/>
      <c r="D374" s="45"/>
      <c r="E374" s="44"/>
      <c r="F374" s="43"/>
      <c r="G374" s="43"/>
      <c r="H374" s="43"/>
      <c r="I374" s="46"/>
      <c r="J374" s="47"/>
      <c r="K374" s="48"/>
      <c r="L374" s="49"/>
      <c r="M374" s="49"/>
      <c r="N374" s="50"/>
      <c r="O374" s="43"/>
      <c r="P374" s="43"/>
      <c r="Q374" s="44"/>
      <c r="R374" s="35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43"/>
      <c r="B375" s="40"/>
      <c r="C375" s="44"/>
      <c r="D375" s="45"/>
      <c r="E375" s="44"/>
      <c r="F375" s="43"/>
      <c r="G375" s="43"/>
      <c r="H375" s="43"/>
      <c r="I375" s="46"/>
      <c r="J375" s="47"/>
      <c r="K375" s="48"/>
      <c r="L375" s="49"/>
      <c r="M375" s="49"/>
      <c r="N375" s="50"/>
      <c r="O375" s="43"/>
      <c r="P375" s="43"/>
      <c r="Q375" s="44"/>
      <c r="R375" s="35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43"/>
      <c r="B376" s="40"/>
      <c r="C376" s="44"/>
      <c r="D376" s="45"/>
      <c r="E376" s="44"/>
      <c r="F376" s="43"/>
      <c r="G376" s="43"/>
      <c r="H376" s="43"/>
      <c r="I376" s="46"/>
      <c r="J376" s="47"/>
      <c r="K376" s="48"/>
      <c r="L376" s="49"/>
      <c r="M376" s="49"/>
      <c r="N376" s="50"/>
      <c r="O376" s="43"/>
      <c r="P376" s="43"/>
      <c r="Q376" s="44"/>
      <c r="R376" s="35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43"/>
      <c r="B377" s="40"/>
      <c r="C377" s="44"/>
      <c r="D377" s="45"/>
      <c r="E377" s="44"/>
      <c r="F377" s="43"/>
      <c r="G377" s="43"/>
      <c r="H377" s="43"/>
      <c r="I377" s="46"/>
      <c r="J377" s="47"/>
      <c r="K377" s="48"/>
      <c r="L377" s="49"/>
      <c r="M377" s="49"/>
      <c r="N377" s="50"/>
      <c r="O377" s="43"/>
      <c r="P377" s="43"/>
      <c r="Q377" s="44"/>
      <c r="R377" s="35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43"/>
      <c r="B378" s="40"/>
      <c r="C378" s="44"/>
      <c r="D378" s="45"/>
      <c r="E378" s="44"/>
      <c r="F378" s="43"/>
      <c r="G378" s="43"/>
      <c r="H378" s="43"/>
      <c r="I378" s="46"/>
      <c r="J378" s="47"/>
      <c r="K378" s="48"/>
      <c r="L378" s="49"/>
      <c r="M378" s="49"/>
      <c r="N378" s="50"/>
      <c r="O378" s="43"/>
      <c r="P378" s="43"/>
      <c r="Q378" s="44"/>
      <c r="R378" s="35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43"/>
      <c r="B379" s="40"/>
      <c r="C379" s="44"/>
      <c r="D379" s="45"/>
      <c r="E379" s="44"/>
      <c r="F379" s="43"/>
      <c r="G379" s="43"/>
      <c r="H379" s="43"/>
      <c r="I379" s="46"/>
      <c r="J379" s="47"/>
      <c r="K379" s="48"/>
      <c r="L379" s="49"/>
      <c r="M379" s="49"/>
      <c r="N379" s="50"/>
      <c r="O379" s="43"/>
      <c r="P379" s="43"/>
      <c r="Q379" s="44"/>
      <c r="R379" s="35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43"/>
      <c r="B380" s="40"/>
      <c r="C380" s="44"/>
      <c r="D380" s="45"/>
      <c r="E380" s="44"/>
      <c r="F380" s="43"/>
      <c r="G380" s="43"/>
      <c r="H380" s="43"/>
      <c r="I380" s="46"/>
      <c r="J380" s="47"/>
      <c r="K380" s="48"/>
      <c r="L380" s="49"/>
      <c r="M380" s="49"/>
      <c r="N380" s="50"/>
      <c r="O380" s="43"/>
      <c r="P380" s="43"/>
      <c r="Q380" s="44"/>
      <c r="R380" s="35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43"/>
      <c r="B381" s="40"/>
      <c r="C381" s="44"/>
      <c r="D381" s="45"/>
      <c r="E381" s="44"/>
      <c r="F381" s="43"/>
      <c r="G381" s="43"/>
      <c r="H381" s="43"/>
      <c r="I381" s="46"/>
      <c r="J381" s="47"/>
      <c r="K381" s="48"/>
      <c r="L381" s="49"/>
      <c r="M381" s="49"/>
      <c r="N381" s="50"/>
      <c r="O381" s="43"/>
      <c r="P381" s="43"/>
      <c r="Q381" s="44"/>
      <c r="R381" s="35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43"/>
      <c r="B382" s="40"/>
      <c r="C382" s="44"/>
      <c r="D382" s="45"/>
      <c r="E382" s="44"/>
      <c r="F382" s="43"/>
      <c r="G382" s="43"/>
      <c r="H382" s="43"/>
      <c r="I382" s="46"/>
      <c r="J382" s="47"/>
      <c r="K382" s="48"/>
      <c r="L382" s="49"/>
      <c r="M382" s="49"/>
      <c r="N382" s="50"/>
      <c r="O382" s="43"/>
      <c r="P382" s="43"/>
      <c r="Q382" s="44"/>
      <c r="R382" s="35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43"/>
      <c r="B383" s="40"/>
      <c r="C383" s="44"/>
      <c r="D383" s="45"/>
      <c r="E383" s="44"/>
      <c r="F383" s="43"/>
      <c r="G383" s="43"/>
      <c r="H383" s="43"/>
      <c r="I383" s="46"/>
      <c r="J383" s="47"/>
      <c r="K383" s="48"/>
      <c r="L383" s="49"/>
      <c r="M383" s="49"/>
      <c r="N383" s="50"/>
      <c r="O383" s="43"/>
      <c r="P383" s="43"/>
      <c r="Q383" s="44"/>
      <c r="R383" s="35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43"/>
      <c r="B384" s="40"/>
      <c r="C384" s="44"/>
      <c r="D384" s="45"/>
      <c r="E384" s="44"/>
      <c r="F384" s="43"/>
      <c r="G384" s="43"/>
      <c r="H384" s="43"/>
      <c r="I384" s="46"/>
      <c r="J384" s="47"/>
      <c r="K384" s="48"/>
      <c r="L384" s="49"/>
      <c r="M384" s="49"/>
      <c r="N384" s="50"/>
      <c r="O384" s="43"/>
      <c r="P384" s="43"/>
      <c r="Q384" s="44"/>
      <c r="R384" s="35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43"/>
      <c r="B385" s="40"/>
      <c r="C385" s="44"/>
      <c r="D385" s="45"/>
      <c r="E385" s="44"/>
      <c r="F385" s="43"/>
      <c r="G385" s="43"/>
      <c r="H385" s="43"/>
      <c r="I385" s="46"/>
      <c r="J385" s="47"/>
      <c r="K385" s="48"/>
      <c r="L385" s="49"/>
      <c r="M385" s="49"/>
      <c r="N385" s="50"/>
      <c r="O385" s="43"/>
      <c r="P385" s="43"/>
      <c r="Q385" s="44"/>
      <c r="R385" s="35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43"/>
      <c r="B386" s="40"/>
      <c r="C386" s="44"/>
      <c r="D386" s="45"/>
      <c r="E386" s="44"/>
      <c r="F386" s="43"/>
      <c r="G386" s="43"/>
      <c r="H386" s="43"/>
      <c r="I386" s="46"/>
      <c r="J386" s="47"/>
      <c r="K386" s="48"/>
      <c r="L386" s="49"/>
      <c r="M386" s="49"/>
      <c r="N386" s="50"/>
      <c r="O386" s="43"/>
      <c r="P386" s="43"/>
      <c r="Q386" s="44"/>
      <c r="R386" s="35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43"/>
      <c r="B387" s="40"/>
      <c r="C387" s="44"/>
      <c r="D387" s="45"/>
      <c r="E387" s="44"/>
      <c r="F387" s="43"/>
      <c r="G387" s="43"/>
      <c r="H387" s="43"/>
      <c r="I387" s="46"/>
      <c r="J387" s="47"/>
      <c r="K387" s="48"/>
      <c r="L387" s="49"/>
      <c r="M387" s="49"/>
      <c r="N387" s="50"/>
      <c r="O387" s="43"/>
      <c r="P387" s="43"/>
      <c r="Q387" s="44"/>
      <c r="R387" s="35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43"/>
      <c r="B388" s="40"/>
      <c r="C388" s="44"/>
      <c r="D388" s="45"/>
      <c r="E388" s="44"/>
      <c r="F388" s="43"/>
      <c r="G388" s="43"/>
      <c r="H388" s="43"/>
      <c r="I388" s="46"/>
      <c r="J388" s="47"/>
      <c r="K388" s="48"/>
      <c r="L388" s="49"/>
      <c r="M388" s="49"/>
      <c r="N388" s="50"/>
      <c r="O388" s="43"/>
      <c r="P388" s="43"/>
      <c r="Q388" s="44"/>
      <c r="R388" s="35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43"/>
      <c r="B389" s="40"/>
      <c r="C389" s="44"/>
      <c r="D389" s="45"/>
      <c r="E389" s="44"/>
      <c r="F389" s="43"/>
      <c r="G389" s="43"/>
      <c r="H389" s="43"/>
      <c r="I389" s="46"/>
      <c r="J389" s="47"/>
      <c r="K389" s="48"/>
      <c r="L389" s="49"/>
      <c r="M389" s="49"/>
      <c r="N389" s="50"/>
      <c r="O389" s="43"/>
      <c r="P389" s="43"/>
      <c r="Q389" s="44"/>
      <c r="R389" s="35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43"/>
      <c r="B390" s="40"/>
      <c r="C390" s="44"/>
      <c r="D390" s="45"/>
      <c r="E390" s="44"/>
      <c r="F390" s="43"/>
      <c r="G390" s="43"/>
      <c r="H390" s="43"/>
      <c r="I390" s="46"/>
      <c r="J390" s="47"/>
      <c r="K390" s="48"/>
      <c r="L390" s="49"/>
      <c r="M390" s="49"/>
      <c r="N390" s="50"/>
      <c r="O390" s="43"/>
      <c r="P390" s="43"/>
      <c r="Q390" s="44"/>
      <c r="R390" s="35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43"/>
      <c r="B391" s="40"/>
      <c r="C391" s="44"/>
      <c r="D391" s="45"/>
      <c r="E391" s="44"/>
      <c r="F391" s="43"/>
      <c r="G391" s="43"/>
      <c r="H391" s="43"/>
      <c r="I391" s="46"/>
      <c r="J391" s="47"/>
      <c r="K391" s="48"/>
      <c r="L391" s="49"/>
      <c r="M391" s="49"/>
      <c r="N391" s="50"/>
      <c r="O391" s="43"/>
      <c r="P391" s="43"/>
      <c r="Q391" s="44"/>
      <c r="R391" s="35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43"/>
      <c r="B392" s="40"/>
      <c r="C392" s="44"/>
      <c r="D392" s="45"/>
      <c r="E392" s="44"/>
      <c r="F392" s="43"/>
      <c r="G392" s="43"/>
      <c r="H392" s="43"/>
      <c r="I392" s="46"/>
      <c r="J392" s="47"/>
      <c r="K392" s="48"/>
      <c r="L392" s="49"/>
      <c r="M392" s="49"/>
      <c r="N392" s="50"/>
      <c r="O392" s="43"/>
      <c r="P392" s="43"/>
      <c r="Q392" s="44"/>
      <c r="R392" s="35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43"/>
      <c r="B393" s="40"/>
      <c r="C393" s="44"/>
      <c r="D393" s="45"/>
      <c r="E393" s="44"/>
      <c r="F393" s="43"/>
      <c r="G393" s="43"/>
      <c r="H393" s="43"/>
      <c r="I393" s="46"/>
      <c r="J393" s="47"/>
      <c r="K393" s="48"/>
      <c r="L393" s="49"/>
      <c r="M393" s="49"/>
      <c r="N393" s="50"/>
      <c r="O393" s="43"/>
      <c r="P393" s="43"/>
      <c r="Q393" s="44"/>
      <c r="R393" s="35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43"/>
      <c r="B394" s="40"/>
      <c r="C394" s="44"/>
      <c r="D394" s="45"/>
      <c r="E394" s="44"/>
      <c r="F394" s="43"/>
      <c r="G394" s="43"/>
      <c r="H394" s="43"/>
      <c r="I394" s="46"/>
      <c r="J394" s="47"/>
      <c r="K394" s="48"/>
      <c r="L394" s="49"/>
      <c r="M394" s="49"/>
      <c r="N394" s="50"/>
      <c r="O394" s="43"/>
      <c r="P394" s="43"/>
      <c r="Q394" s="44"/>
      <c r="R394" s="35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43"/>
      <c r="B395" s="40"/>
      <c r="C395" s="44"/>
      <c r="D395" s="45"/>
      <c r="E395" s="44"/>
      <c r="F395" s="43"/>
      <c r="G395" s="43"/>
      <c r="H395" s="43"/>
      <c r="I395" s="46"/>
      <c r="J395" s="47"/>
      <c r="K395" s="48"/>
      <c r="L395" s="49"/>
      <c r="M395" s="49"/>
      <c r="N395" s="50"/>
      <c r="O395" s="43"/>
      <c r="P395" s="43"/>
      <c r="Q395" s="44"/>
      <c r="R395" s="35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43"/>
      <c r="B396" s="40"/>
      <c r="C396" s="44"/>
      <c r="D396" s="45"/>
      <c r="E396" s="44"/>
      <c r="F396" s="43"/>
      <c r="G396" s="43"/>
      <c r="H396" s="43"/>
      <c r="I396" s="46"/>
      <c r="J396" s="47"/>
      <c r="K396" s="48"/>
      <c r="L396" s="49"/>
      <c r="M396" s="49"/>
      <c r="N396" s="50"/>
      <c r="O396" s="43"/>
      <c r="P396" s="43"/>
      <c r="Q396" s="44"/>
      <c r="R396" s="35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43"/>
      <c r="B397" s="40"/>
      <c r="C397" s="44"/>
      <c r="D397" s="45"/>
      <c r="E397" s="44"/>
      <c r="F397" s="43"/>
      <c r="G397" s="43"/>
      <c r="H397" s="43"/>
      <c r="I397" s="46"/>
      <c r="J397" s="47"/>
      <c r="K397" s="48"/>
      <c r="L397" s="49"/>
      <c r="M397" s="49"/>
      <c r="N397" s="50"/>
      <c r="O397" s="43"/>
      <c r="P397" s="43"/>
      <c r="Q397" s="44"/>
      <c r="R397" s="35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43"/>
      <c r="B398" s="40"/>
      <c r="C398" s="44"/>
      <c r="D398" s="45"/>
      <c r="E398" s="44"/>
      <c r="F398" s="43"/>
      <c r="G398" s="43"/>
      <c r="H398" s="43"/>
      <c r="I398" s="46"/>
      <c r="J398" s="47"/>
      <c r="K398" s="48"/>
      <c r="L398" s="49"/>
      <c r="M398" s="49"/>
      <c r="N398" s="50"/>
      <c r="O398" s="43"/>
      <c r="P398" s="43"/>
      <c r="Q398" s="44"/>
      <c r="R398" s="35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43"/>
      <c r="B399" s="40"/>
      <c r="C399" s="44"/>
      <c r="D399" s="45"/>
      <c r="E399" s="44"/>
      <c r="F399" s="43"/>
      <c r="G399" s="43"/>
      <c r="H399" s="43"/>
      <c r="I399" s="46"/>
      <c r="J399" s="47"/>
      <c r="K399" s="48"/>
      <c r="L399" s="49"/>
      <c r="M399" s="49"/>
      <c r="N399" s="50"/>
      <c r="O399" s="43"/>
      <c r="P399" s="43"/>
      <c r="Q399" s="44"/>
      <c r="R399" s="35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43"/>
      <c r="B400" s="40"/>
      <c r="C400" s="44"/>
      <c r="D400" s="45"/>
      <c r="E400" s="44"/>
      <c r="F400" s="43"/>
      <c r="G400" s="43"/>
      <c r="H400" s="43"/>
      <c r="I400" s="46"/>
      <c r="J400" s="47"/>
      <c r="K400" s="48"/>
      <c r="L400" s="49"/>
      <c r="M400" s="49"/>
      <c r="N400" s="50"/>
      <c r="O400" s="43"/>
      <c r="P400" s="43"/>
      <c r="Q400" s="44"/>
      <c r="R400" s="35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43"/>
      <c r="B401" s="40"/>
      <c r="C401" s="44"/>
      <c r="D401" s="45"/>
      <c r="E401" s="44"/>
      <c r="F401" s="43"/>
      <c r="G401" s="43"/>
      <c r="H401" s="43"/>
      <c r="I401" s="46"/>
      <c r="J401" s="47"/>
      <c r="K401" s="48"/>
      <c r="L401" s="49"/>
      <c r="M401" s="49"/>
      <c r="N401" s="50"/>
      <c r="O401" s="43"/>
      <c r="P401" s="43"/>
      <c r="Q401" s="44"/>
      <c r="R401" s="35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43"/>
      <c r="B402" s="40"/>
      <c r="C402" s="44"/>
      <c r="D402" s="45"/>
      <c r="E402" s="44"/>
      <c r="F402" s="43"/>
      <c r="G402" s="43"/>
      <c r="H402" s="43"/>
      <c r="I402" s="46"/>
      <c r="J402" s="47"/>
      <c r="K402" s="48"/>
      <c r="L402" s="49"/>
      <c r="M402" s="49"/>
      <c r="N402" s="50"/>
      <c r="O402" s="43"/>
      <c r="P402" s="43"/>
      <c r="Q402" s="44"/>
      <c r="R402" s="35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43"/>
      <c r="B403" s="40"/>
      <c r="C403" s="44"/>
      <c r="D403" s="45"/>
      <c r="E403" s="44"/>
      <c r="F403" s="43"/>
      <c r="G403" s="43"/>
      <c r="H403" s="43"/>
      <c r="I403" s="46"/>
      <c r="J403" s="47"/>
      <c r="K403" s="48"/>
      <c r="L403" s="49"/>
      <c r="M403" s="49"/>
      <c r="N403" s="50"/>
      <c r="O403" s="43"/>
      <c r="P403" s="43"/>
      <c r="Q403" s="44"/>
      <c r="R403" s="35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43"/>
      <c r="B404" s="40"/>
      <c r="C404" s="44"/>
      <c r="D404" s="45"/>
      <c r="E404" s="44"/>
      <c r="F404" s="43"/>
      <c r="G404" s="43"/>
      <c r="H404" s="43"/>
      <c r="I404" s="46"/>
      <c r="J404" s="47"/>
      <c r="K404" s="48"/>
      <c r="L404" s="49"/>
      <c r="M404" s="49"/>
      <c r="N404" s="50"/>
      <c r="O404" s="43"/>
      <c r="P404" s="43"/>
      <c r="Q404" s="44"/>
      <c r="R404" s="35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43"/>
      <c r="B405" s="40"/>
      <c r="C405" s="44"/>
      <c r="D405" s="45"/>
      <c r="E405" s="44"/>
      <c r="F405" s="43"/>
      <c r="G405" s="43"/>
      <c r="H405" s="43"/>
      <c r="I405" s="46"/>
      <c r="J405" s="47"/>
      <c r="K405" s="48"/>
      <c r="L405" s="49"/>
      <c r="M405" s="49"/>
      <c r="N405" s="50"/>
      <c r="O405" s="43"/>
      <c r="P405" s="43"/>
      <c r="Q405" s="44"/>
      <c r="R405" s="35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43"/>
      <c r="B406" s="40"/>
      <c r="C406" s="44"/>
      <c r="D406" s="45"/>
      <c r="E406" s="44"/>
      <c r="F406" s="43"/>
      <c r="G406" s="43"/>
      <c r="H406" s="43"/>
      <c r="I406" s="46"/>
      <c r="J406" s="47"/>
      <c r="K406" s="48"/>
      <c r="L406" s="49"/>
      <c r="M406" s="49"/>
      <c r="N406" s="50"/>
      <c r="O406" s="43"/>
      <c r="P406" s="43"/>
      <c r="Q406" s="44"/>
      <c r="R406" s="35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43"/>
      <c r="B407" s="40"/>
      <c r="C407" s="44"/>
      <c r="D407" s="45"/>
      <c r="E407" s="44"/>
      <c r="F407" s="43"/>
      <c r="G407" s="43"/>
      <c r="H407" s="43"/>
      <c r="I407" s="46"/>
      <c r="J407" s="47"/>
      <c r="K407" s="48"/>
      <c r="L407" s="49"/>
      <c r="M407" s="49"/>
      <c r="N407" s="50"/>
      <c r="O407" s="43"/>
      <c r="P407" s="43"/>
      <c r="Q407" s="44"/>
      <c r="R407" s="35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43"/>
      <c r="B408" s="40"/>
      <c r="C408" s="44"/>
      <c r="D408" s="45"/>
      <c r="E408" s="44"/>
      <c r="F408" s="43"/>
      <c r="G408" s="43"/>
      <c r="H408" s="43"/>
      <c r="I408" s="46"/>
      <c r="J408" s="47"/>
      <c r="K408" s="48"/>
      <c r="L408" s="49"/>
      <c r="M408" s="49"/>
      <c r="N408" s="50"/>
      <c r="O408" s="43"/>
      <c r="P408" s="43"/>
      <c r="Q408" s="44"/>
      <c r="R408" s="35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43"/>
      <c r="B409" s="40"/>
      <c r="C409" s="44"/>
      <c r="D409" s="45"/>
      <c r="E409" s="44"/>
      <c r="F409" s="43"/>
      <c r="G409" s="43"/>
      <c r="H409" s="43"/>
      <c r="I409" s="46"/>
      <c r="J409" s="47"/>
      <c r="K409" s="48"/>
      <c r="L409" s="49"/>
      <c r="M409" s="49"/>
      <c r="N409" s="50"/>
      <c r="O409" s="43"/>
      <c r="P409" s="43"/>
      <c r="Q409" s="44"/>
      <c r="R409" s="35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43"/>
      <c r="B410" s="40"/>
      <c r="C410" s="44"/>
      <c r="D410" s="45"/>
      <c r="E410" s="44"/>
      <c r="F410" s="43"/>
      <c r="G410" s="43"/>
      <c r="H410" s="43"/>
      <c r="I410" s="46"/>
      <c r="J410" s="47"/>
      <c r="K410" s="48"/>
      <c r="L410" s="49"/>
      <c r="M410" s="49"/>
      <c r="N410" s="50"/>
      <c r="O410" s="43"/>
      <c r="P410" s="43"/>
      <c r="Q410" s="44"/>
      <c r="R410" s="35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43"/>
      <c r="B411" s="40"/>
      <c r="C411" s="44"/>
      <c r="D411" s="45"/>
      <c r="E411" s="44"/>
      <c r="F411" s="43"/>
      <c r="G411" s="43"/>
      <c r="H411" s="43"/>
      <c r="I411" s="46"/>
      <c r="J411" s="47"/>
      <c r="K411" s="48"/>
      <c r="L411" s="49"/>
      <c r="M411" s="49"/>
      <c r="N411" s="50"/>
      <c r="O411" s="43"/>
      <c r="P411" s="43"/>
      <c r="Q411" s="44"/>
      <c r="R411" s="35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43"/>
      <c r="B412" s="40"/>
      <c r="C412" s="44"/>
      <c r="D412" s="45"/>
      <c r="E412" s="44"/>
      <c r="F412" s="43"/>
      <c r="G412" s="43"/>
      <c r="H412" s="43"/>
      <c r="I412" s="46"/>
      <c r="J412" s="47"/>
      <c r="K412" s="48"/>
      <c r="L412" s="49"/>
      <c r="M412" s="49"/>
      <c r="N412" s="50"/>
      <c r="O412" s="43"/>
      <c r="P412" s="43"/>
      <c r="Q412" s="44"/>
      <c r="R412" s="35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43"/>
      <c r="B413" s="40"/>
      <c r="C413" s="44"/>
      <c r="D413" s="45"/>
      <c r="E413" s="44"/>
      <c r="F413" s="43"/>
      <c r="G413" s="43"/>
      <c r="H413" s="43"/>
      <c r="I413" s="46"/>
      <c r="J413" s="47"/>
      <c r="K413" s="48"/>
      <c r="L413" s="49"/>
      <c r="M413" s="49"/>
      <c r="N413" s="50"/>
      <c r="O413" s="43"/>
      <c r="P413" s="43"/>
      <c r="Q413" s="44"/>
      <c r="R413" s="35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43"/>
      <c r="B414" s="40"/>
      <c r="C414" s="44"/>
      <c r="D414" s="45"/>
      <c r="E414" s="44"/>
      <c r="F414" s="43"/>
      <c r="G414" s="43"/>
      <c r="H414" s="43"/>
      <c r="I414" s="46"/>
      <c r="J414" s="47"/>
      <c r="K414" s="48"/>
      <c r="L414" s="49"/>
      <c r="M414" s="49"/>
      <c r="N414" s="50"/>
      <c r="O414" s="43"/>
      <c r="P414" s="43"/>
      <c r="Q414" s="44"/>
      <c r="R414" s="35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43"/>
      <c r="B415" s="40"/>
      <c r="C415" s="44"/>
      <c r="D415" s="45"/>
      <c r="E415" s="44"/>
      <c r="F415" s="43"/>
      <c r="G415" s="43"/>
      <c r="H415" s="43"/>
      <c r="I415" s="46"/>
      <c r="J415" s="47"/>
      <c r="K415" s="48"/>
      <c r="L415" s="49"/>
      <c r="M415" s="49"/>
      <c r="N415" s="50"/>
      <c r="O415" s="43"/>
      <c r="P415" s="43"/>
      <c r="Q415" s="44"/>
      <c r="R415" s="35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43"/>
      <c r="B416" s="40"/>
      <c r="C416" s="44"/>
      <c r="D416" s="45"/>
      <c r="E416" s="44"/>
      <c r="F416" s="43"/>
      <c r="G416" s="43"/>
      <c r="H416" s="43"/>
      <c r="I416" s="46"/>
      <c r="J416" s="47"/>
      <c r="K416" s="48"/>
      <c r="L416" s="49"/>
      <c r="M416" s="49"/>
      <c r="N416" s="50"/>
      <c r="O416" s="43"/>
      <c r="P416" s="43"/>
      <c r="Q416" s="44"/>
      <c r="R416" s="35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43"/>
      <c r="B417" s="40"/>
      <c r="C417" s="44"/>
      <c r="D417" s="45"/>
      <c r="E417" s="44"/>
      <c r="F417" s="43"/>
      <c r="G417" s="43"/>
      <c r="H417" s="43"/>
      <c r="I417" s="46"/>
      <c r="J417" s="47"/>
      <c r="K417" s="48"/>
      <c r="L417" s="49"/>
      <c r="M417" s="49"/>
      <c r="N417" s="50"/>
      <c r="O417" s="43"/>
      <c r="P417" s="43"/>
      <c r="Q417" s="44"/>
      <c r="R417" s="35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43"/>
      <c r="B418" s="40"/>
      <c r="C418" s="44"/>
      <c r="D418" s="45"/>
      <c r="E418" s="44"/>
      <c r="F418" s="43"/>
      <c r="G418" s="43"/>
      <c r="H418" s="43"/>
      <c r="I418" s="46"/>
      <c r="J418" s="47"/>
      <c r="K418" s="48"/>
      <c r="L418" s="49"/>
      <c r="M418" s="49"/>
      <c r="N418" s="50"/>
      <c r="O418" s="43"/>
      <c r="P418" s="43"/>
      <c r="Q418" s="44"/>
      <c r="R418" s="35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43"/>
      <c r="B419" s="40"/>
      <c r="C419" s="44"/>
      <c r="D419" s="45"/>
      <c r="E419" s="44"/>
      <c r="F419" s="43"/>
      <c r="G419" s="43"/>
      <c r="H419" s="43"/>
      <c r="I419" s="46"/>
      <c r="J419" s="47"/>
      <c r="K419" s="48"/>
      <c r="L419" s="49"/>
      <c r="M419" s="49"/>
      <c r="N419" s="50"/>
      <c r="O419" s="43"/>
      <c r="P419" s="43"/>
      <c r="Q419" s="44"/>
      <c r="R419" s="35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43"/>
      <c r="B420" s="40"/>
      <c r="C420" s="44"/>
      <c r="D420" s="45"/>
      <c r="E420" s="44"/>
      <c r="F420" s="43"/>
      <c r="G420" s="43"/>
      <c r="H420" s="43"/>
      <c r="I420" s="46"/>
      <c r="J420" s="47"/>
      <c r="K420" s="48"/>
      <c r="L420" s="49"/>
      <c r="M420" s="49"/>
      <c r="N420" s="50"/>
      <c r="O420" s="43"/>
      <c r="P420" s="43"/>
      <c r="Q420" s="44"/>
      <c r="R420" s="35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43"/>
      <c r="B421" s="40"/>
      <c r="C421" s="44"/>
      <c r="D421" s="45"/>
      <c r="E421" s="44"/>
      <c r="F421" s="43"/>
      <c r="G421" s="43"/>
      <c r="H421" s="43"/>
      <c r="I421" s="46"/>
      <c r="J421" s="47"/>
      <c r="K421" s="48"/>
      <c r="L421" s="49"/>
      <c r="M421" s="49"/>
      <c r="N421" s="50"/>
      <c r="O421" s="43"/>
      <c r="P421" s="43"/>
      <c r="Q421" s="44"/>
      <c r="R421" s="35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43"/>
      <c r="B422" s="40"/>
      <c r="C422" s="44"/>
      <c r="D422" s="45"/>
      <c r="E422" s="44"/>
      <c r="F422" s="43"/>
      <c r="G422" s="43"/>
      <c r="H422" s="43"/>
      <c r="I422" s="46"/>
      <c r="J422" s="47"/>
      <c r="K422" s="48"/>
      <c r="L422" s="49"/>
      <c r="M422" s="49"/>
      <c r="N422" s="50"/>
      <c r="O422" s="43"/>
      <c r="P422" s="43"/>
      <c r="Q422" s="44"/>
      <c r="R422" s="35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43"/>
      <c r="B423" s="40"/>
      <c r="C423" s="44"/>
      <c r="D423" s="45"/>
      <c r="E423" s="44"/>
      <c r="F423" s="43"/>
      <c r="G423" s="43"/>
      <c r="H423" s="43"/>
      <c r="I423" s="46"/>
      <c r="J423" s="47"/>
      <c r="K423" s="48"/>
      <c r="L423" s="49"/>
      <c r="M423" s="49"/>
      <c r="N423" s="50"/>
      <c r="O423" s="43"/>
      <c r="P423" s="43"/>
      <c r="Q423" s="44"/>
      <c r="R423" s="35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43"/>
      <c r="B424" s="40"/>
      <c r="C424" s="44"/>
      <c r="D424" s="45"/>
      <c r="E424" s="44"/>
      <c r="F424" s="43"/>
      <c r="G424" s="43"/>
      <c r="H424" s="43"/>
      <c r="I424" s="46"/>
      <c r="J424" s="47"/>
      <c r="K424" s="48"/>
      <c r="L424" s="49"/>
      <c r="M424" s="49"/>
      <c r="N424" s="50"/>
      <c r="O424" s="43"/>
      <c r="P424" s="43"/>
      <c r="Q424" s="44"/>
      <c r="R424" s="35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43"/>
      <c r="B425" s="40"/>
      <c r="C425" s="44"/>
      <c r="D425" s="45"/>
      <c r="E425" s="44"/>
      <c r="F425" s="43"/>
      <c r="G425" s="43"/>
      <c r="H425" s="43"/>
      <c r="I425" s="46"/>
      <c r="J425" s="47"/>
      <c r="K425" s="48"/>
      <c r="L425" s="49"/>
      <c r="M425" s="49"/>
      <c r="N425" s="50"/>
      <c r="O425" s="43"/>
      <c r="P425" s="43"/>
      <c r="Q425" s="44"/>
      <c r="R425" s="35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43"/>
      <c r="B426" s="40"/>
      <c r="C426" s="44"/>
      <c r="D426" s="45"/>
      <c r="E426" s="44"/>
      <c r="F426" s="43"/>
      <c r="G426" s="43"/>
      <c r="H426" s="43"/>
      <c r="I426" s="46"/>
      <c r="J426" s="47"/>
      <c r="K426" s="48"/>
      <c r="L426" s="49"/>
      <c r="M426" s="49"/>
      <c r="N426" s="50"/>
      <c r="O426" s="43"/>
      <c r="P426" s="43"/>
      <c r="Q426" s="44"/>
      <c r="R426" s="35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43"/>
      <c r="B427" s="40"/>
      <c r="C427" s="44"/>
      <c r="D427" s="45"/>
      <c r="E427" s="44"/>
      <c r="F427" s="43"/>
      <c r="G427" s="43"/>
      <c r="H427" s="43"/>
      <c r="I427" s="46"/>
      <c r="J427" s="47"/>
      <c r="K427" s="48"/>
      <c r="L427" s="49"/>
      <c r="M427" s="49"/>
      <c r="N427" s="50"/>
      <c r="O427" s="43"/>
      <c r="P427" s="43"/>
      <c r="Q427" s="44"/>
      <c r="R427" s="35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43"/>
      <c r="B428" s="40"/>
      <c r="C428" s="44"/>
      <c r="D428" s="45"/>
      <c r="E428" s="44"/>
      <c r="F428" s="43"/>
      <c r="G428" s="43"/>
      <c r="H428" s="43"/>
      <c r="I428" s="46"/>
      <c r="J428" s="47"/>
      <c r="K428" s="48"/>
      <c r="L428" s="49"/>
      <c r="M428" s="49"/>
      <c r="N428" s="50"/>
      <c r="O428" s="43"/>
      <c r="P428" s="43"/>
      <c r="Q428" s="44"/>
      <c r="R428" s="35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43"/>
      <c r="B429" s="40"/>
      <c r="C429" s="44"/>
      <c r="D429" s="45"/>
      <c r="E429" s="44"/>
      <c r="F429" s="43"/>
      <c r="G429" s="43"/>
      <c r="H429" s="43"/>
      <c r="I429" s="46"/>
      <c r="J429" s="47"/>
      <c r="K429" s="48"/>
      <c r="L429" s="49"/>
      <c r="M429" s="49"/>
      <c r="N429" s="50"/>
      <c r="O429" s="43"/>
      <c r="P429" s="43"/>
      <c r="Q429" s="44"/>
      <c r="R429" s="35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43"/>
      <c r="B430" s="40"/>
      <c r="C430" s="44"/>
      <c r="D430" s="45"/>
      <c r="E430" s="44"/>
      <c r="F430" s="43"/>
      <c r="G430" s="43"/>
      <c r="H430" s="43"/>
      <c r="I430" s="46"/>
      <c r="J430" s="47"/>
      <c r="K430" s="48"/>
      <c r="L430" s="49"/>
      <c r="M430" s="49"/>
      <c r="N430" s="50"/>
      <c r="O430" s="43"/>
      <c r="P430" s="43"/>
      <c r="Q430" s="44"/>
      <c r="R430" s="35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43"/>
      <c r="B431" s="40"/>
      <c r="C431" s="44"/>
      <c r="D431" s="45"/>
      <c r="E431" s="44"/>
      <c r="F431" s="43"/>
      <c r="G431" s="43"/>
      <c r="H431" s="43"/>
      <c r="I431" s="46"/>
      <c r="J431" s="47"/>
      <c r="K431" s="48"/>
      <c r="L431" s="49"/>
      <c r="M431" s="49"/>
      <c r="N431" s="50"/>
      <c r="O431" s="43"/>
      <c r="P431" s="43"/>
      <c r="Q431" s="44"/>
      <c r="R431" s="35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43"/>
      <c r="B432" s="40"/>
      <c r="C432" s="44"/>
      <c r="D432" s="45"/>
      <c r="E432" s="44"/>
      <c r="F432" s="43"/>
      <c r="G432" s="43"/>
      <c r="H432" s="43"/>
      <c r="I432" s="46"/>
      <c r="J432" s="47"/>
      <c r="K432" s="48"/>
      <c r="L432" s="49"/>
      <c r="M432" s="49"/>
      <c r="N432" s="50"/>
      <c r="O432" s="43"/>
      <c r="P432" s="43"/>
      <c r="Q432" s="44"/>
      <c r="R432" s="35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43"/>
      <c r="B433" s="40"/>
      <c r="C433" s="44"/>
      <c r="D433" s="45"/>
      <c r="E433" s="44"/>
      <c r="F433" s="43"/>
      <c r="G433" s="43"/>
      <c r="H433" s="43"/>
      <c r="I433" s="46"/>
      <c r="J433" s="47"/>
      <c r="K433" s="48"/>
      <c r="L433" s="49"/>
      <c r="M433" s="49"/>
      <c r="N433" s="50"/>
      <c r="O433" s="43"/>
      <c r="P433" s="43"/>
      <c r="Q433" s="44"/>
      <c r="R433" s="35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43"/>
      <c r="B434" s="40"/>
      <c r="C434" s="44"/>
      <c r="D434" s="45"/>
      <c r="E434" s="44"/>
      <c r="F434" s="43"/>
      <c r="G434" s="43"/>
      <c r="H434" s="43"/>
      <c r="I434" s="46"/>
      <c r="J434" s="47"/>
      <c r="K434" s="48"/>
      <c r="L434" s="49"/>
      <c r="M434" s="49"/>
      <c r="N434" s="50"/>
      <c r="O434" s="43"/>
      <c r="P434" s="43"/>
      <c r="Q434" s="44"/>
      <c r="R434" s="35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43"/>
      <c r="B435" s="40"/>
      <c r="C435" s="44"/>
      <c r="D435" s="45"/>
      <c r="E435" s="44"/>
      <c r="F435" s="43"/>
      <c r="G435" s="43"/>
      <c r="H435" s="43"/>
      <c r="I435" s="46"/>
      <c r="J435" s="47"/>
      <c r="K435" s="48"/>
      <c r="L435" s="49"/>
      <c r="M435" s="49"/>
      <c r="N435" s="50"/>
      <c r="O435" s="43"/>
      <c r="P435" s="43"/>
      <c r="Q435" s="44"/>
      <c r="R435" s="35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43"/>
      <c r="B436" s="40"/>
      <c r="C436" s="44"/>
      <c r="D436" s="45"/>
      <c r="E436" s="44"/>
      <c r="F436" s="43"/>
      <c r="G436" s="43"/>
      <c r="H436" s="43"/>
      <c r="I436" s="46"/>
      <c r="J436" s="47"/>
      <c r="K436" s="48"/>
      <c r="L436" s="49"/>
      <c r="M436" s="49"/>
      <c r="N436" s="50"/>
      <c r="O436" s="43"/>
      <c r="P436" s="43"/>
      <c r="Q436" s="44"/>
      <c r="R436" s="35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43"/>
      <c r="B437" s="40"/>
      <c r="C437" s="44"/>
      <c r="D437" s="45"/>
      <c r="E437" s="44"/>
      <c r="F437" s="43"/>
      <c r="G437" s="43"/>
      <c r="H437" s="43"/>
      <c r="I437" s="46"/>
      <c r="J437" s="47"/>
      <c r="K437" s="48"/>
      <c r="L437" s="49"/>
      <c r="M437" s="49"/>
      <c r="N437" s="50"/>
      <c r="O437" s="43"/>
      <c r="P437" s="43"/>
      <c r="Q437" s="44"/>
      <c r="R437" s="35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43"/>
      <c r="B438" s="40"/>
      <c r="C438" s="44"/>
      <c r="D438" s="45"/>
      <c r="E438" s="44"/>
      <c r="F438" s="43"/>
      <c r="G438" s="43"/>
      <c r="H438" s="43"/>
      <c r="I438" s="46"/>
      <c r="J438" s="47"/>
      <c r="K438" s="48"/>
      <c r="L438" s="49"/>
      <c r="M438" s="49"/>
      <c r="N438" s="50"/>
      <c r="O438" s="43"/>
      <c r="P438" s="43"/>
      <c r="Q438" s="44"/>
      <c r="R438" s="35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43"/>
      <c r="B439" s="40"/>
      <c r="C439" s="44"/>
      <c r="D439" s="45"/>
      <c r="E439" s="44"/>
      <c r="F439" s="43"/>
      <c r="G439" s="43"/>
      <c r="H439" s="43"/>
      <c r="I439" s="46"/>
      <c r="J439" s="47"/>
      <c r="K439" s="48"/>
      <c r="L439" s="49"/>
      <c r="M439" s="49"/>
      <c r="N439" s="50"/>
      <c r="O439" s="43"/>
      <c r="P439" s="43"/>
      <c r="Q439" s="44"/>
      <c r="R439" s="35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43"/>
      <c r="B440" s="40"/>
      <c r="C440" s="44"/>
      <c r="D440" s="45"/>
      <c r="E440" s="44"/>
      <c r="F440" s="43"/>
      <c r="G440" s="43"/>
      <c r="H440" s="43"/>
      <c r="I440" s="46"/>
      <c r="J440" s="47"/>
      <c r="K440" s="48"/>
      <c r="L440" s="49"/>
      <c r="M440" s="49"/>
      <c r="N440" s="50"/>
      <c r="O440" s="43"/>
      <c r="P440" s="43"/>
      <c r="Q440" s="44"/>
      <c r="R440" s="35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43"/>
      <c r="B441" s="40"/>
      <c r="C441" s="44"/>
      <c r="D441" s="45"/>
      <c r="E441" s="44"/>
      <c r="F441" s="43"/>
      <c r="G441" s="43"/>
      <c r="H441" s="43"/>
      <c r="I441" s="46"/>
      <c r="J441" s="47"/>
      <c r="K441" s="48"/>
      <c r="L441" s="49"/>
      <c r="M441" s="49"/>
      <c r="N441" s="50"/>
      <c r="O441" s="43"/>
      <c r="P441" s="43"/>
      <c r="Q441" s="44"/>
      <c r="R441" s="35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43"/>
      <c r="B442" s="40"/>
      <c r="C442" s="44"/>
      <c r="D442" s="45"/>
      <c r="E442" s="44"/>
      <c r="F442" s="43"/>
      <c r="G442" s="43"/>
      <c r="H442" s="43"/>
      <c r="I442" s="46"/>
      <c r="J442" s="47"/>
      <c r="K442" s="48"/>
      <c r="L442" s="49"/>
      <c r="M442" s="49"/>
      <c r="N442" s="50"/>
      <c r="O442" s="43"/>
      <c r="P442" s="43"/>
      <c r="Q442" s="44"/>
      <c r="R442" s="35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43"/>
      <c r="B443" s="40"/>
      <c r="C443" s="44"/>
      <c r="D443" s="45"/>
      <c r="E443" s="44"/>
      <c r="F443" s="43"/>
      <c r="G443" s="43"/>
      <c r="H443" s="43"/>
      <c r="I443" s="46"/>
      <c r="J443" s="47"/>
      <c r="K443" s="48"/>
      <c r="L443" s="49"/>
      <c r="M443" s="49"/>
      <c r="N443" s="50"/>
      <c r="O443" s="43"/>
      <c r="P443" s="43"/>
      <c r="Q443" s="44"/>
      <c r="R443" s="35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43"/>
      <c r="B444" s="40"/>
      <c r="C444" s="44"/>
      <c r="D444" s="45"/>
      <c r="E444" s="44"/>
      <c r="F444" s="43"/>
      <c r="G444" s="43"/>
      <c r="H444" s="43"/>
      <c r="I444" s="46"/>
      <c r="J444" s="47"/>
      <c r="K444" s="48"/>
      <c r="L444" s="49"/>
      <c r="M444" s="49"/>
      <c r="N444" s="50"/>
      <c r="O444" s="43"/>
      <c r="P444" s="43"/>
      <c r="Q444" s="44"/>
      <c r="R444" s="35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43"/>
      <c r="B445" s="40"/>
      <c r="C445" s="44"/>
      <c r="D445" s="45"/>
      <c r="E445" s="44"/>
      <c r="F445" s="43"/>
      <c r="G445" s="43"/>
      <c r="H445" s="43"/>
      <c r="I445" s="46"/>
      <c r="J445" s="47"/>
      <c r="K445" s="48"/>
      <c r="L445" s="49"/>
      <c r="M445" s="49"/>
      <c r="N445" s="50"/>
      <c r="O445" s="43"/>
      <c r="P445" s="43"/>
      <c r="Q445" s="44"/>
      <c r="R445" s="35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43"/>
      <c r="B446" s="40"/>
      <c r="C446" s="44"/>
      <c r="D446" s="45"/>
      <c r="E446" s="44"/>
      <c r="F446" s="43"/>
      <c r="G446" s="43"/>
      <c r="H446" s="43"/>
      <c r="I446" s="46"/>
      <c r="J446" s="47"/>
      <c r="K446" s="48"/>
      <c r="L446" s="49"/>
      <c r="M446" s="49"/>
      <c r="N446" s="50"/>
      <c r="O446" s="43"/>
      <c r="P446" s="43"/>
      <c r="Q446" s="44"/>
      <c r="R446" s="35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43"/>
      <c r="B447" s="40"/>
      <c r="C447" s="44"/>
      <c r="D447" s="45"/>
      <c r="E447" s="44"/>
      <c r="F447" s="43"/>
      <c r="G447" s="43"/>
      <c r="H447" s="43"/>
      <c r="I447" s="46"/>
      <c r="J447" s="47"/>
      <c r="K447" s="48"/>
      <c r="L447" s="49"/>
      <c r="M447" s="49"/>
      <c r="N447" s="50"/>
      <c r="O447" s="43"/>
      <c r="P447" s="43"/>
      <c r="Q447" s="44"/>
      <c r="R447" s="35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43"/>
      <c r="B448" s="40"/>
      <c r="C448" s="44"/>
      <c r="D448" s="45"/>
      <c r="E448" s="44"/>
      <c r="F448" s="43"/>
      <c r="G448" s="43"/>
      <c r="H448" s="43"/>
      <c r="I448" s="46"/>
      <c r="J448" s="47"/>
      <c r="K448" s="48"/>
      <c r="L448" s="49"/>
      <c r="M448" s="49"/>
      <c r="N448" s="50"/>
      <c r="O448" s="43"/>
      <c r="P448" s="43"/>
      <c r="Q448" s="44"/>
      <c r="R448" s="35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43"/>
      <c r="B449" s="40"/>
      <c r="C449" s="44"/>
      <c r="D449" s="45"/>
      <c r="E449" s="44"/>
      <c r="F449" s="43"/>
      <c r="G449" s="43"/>
      <c r="H449" s="43"/>
      <c r="I449" s="46"/>
      <c r="J449" s="47"/>
      <c r="K449" s="48"/>
      <c r="L449" s="49"/>
      <c r="M449" s="49"/>
      <c r="N449" s="50"/>
      <c r="O449" s="43"/>
      <c r="P449" s="43"/>
      <c r="Q449" s="44"/>
      <c r="R449" s="35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43"/>
      <c r="B450" s="40"/>
      <c r="C450" s="44"/>
      <c r="D450" s="45"/>
      <c r="E450" s="44"/>
      <c r="F450" s="43"/>
      <c r="G450" s="43"/>
      <c r="H450" s="43"/>
      <c r="I450" s="46"/>
      <c r="J450" s="47"/>
      <c r="K450" s="48"/>
      <c r="L450" s="49"/>
      <c r="M450" s="49"/>
      <c r="N450" s="50"/>
      <c r="O450" s="43"/>
      <c r="P450" s="43"/>
      <c r="Q450" s="44"/>
      <c r="R450" s="35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43"/>
      <c r="B451" s="40"/>
      <c r="C451" s="44"/>
      <c r="D451" s="45"/>
      <c r="E451" s="44"/>
      <c r="F451" s="43"/>
      <c r="G451" s="43"/>
      <c r="H451" s="43"/>
      <c r="I451" s="46"/>
      <c r="J451" s="47"/>
      <c r="K451" s="48"/>
      <c r="L451" s="49"/>
      <c r="M451" s="49"/>
      <c r="N451" s="50"/>
      <c r="O451" s="43"/>
      <c r="P451" s="43"/>
      <c r="Q451" s="44"/>
      <c r="R451" s="35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43"/>
      <c r="B452" s="40"/>
      <c r="C452" s="44"/>
      <c r="D452" s="45"/>
      <c r="E452" s="44"/>
      <c r="F452" s="43"/>
      <c r="G452" s="43"/>
      <c r="H452" s="43"/>
      <c r="I452" s="46"/>
      <c r="J452" s="47"/>
      <c r="K452" s="48"/>
      <c r="L452" s="49"/>
      <c r="M452" s="49"/>
      <c r="N452" s="50"/>
      <c r="O452" s="43"/>
      <c r="P452" s="43"/>
      <c r="Q452" s="44"/>
      <c r="R452" s="35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43"/>
      <c r="B453" s="40"/>
      <c r="C453" s="44"/>
      <c r="D453" s="45"/>
      <c r="E453" s="44"/>
      <c r="F453" s="43"/>
      <c r="G453" s="43"/>
      <c r="H453" s="43"/>
      <c r="I453" s="46"/>
      <c r="J453" s="47"/>
      <c r="K453" s="48"/>
      <c r="L453" s="49"/>
      <c r="M453" s="49"/>
      <c r="N453" s="50"/>
      <c r="O453" s="43"/>
      <c r="P453" s="43"/>
      <c r="Q453" s="44"/>
      <c r="R453" s="35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43"/>
      <c r="B454" s="40"/>
      <c r="C454" s="44"/>
      <c r="D454" s="45"/>
      <c r="E454" s="44"/>
      <c r="F454" s="43"/>
      <c r="G454" s="43"/>
      <c r="H454" s="43"/>
      <c r="I454" s="46"/>
      <c r="J454" s="47"/>
      <c r="K454" s="48"/>
      <c r="L454" s="49"/>
      <c r="M454" s="49"/>
      <c r="N454" s="50"/>
      <c r="O454" s="43"/>
      <c r="P454" s="43"/>
      <c r="Q454" s="44"/>
      <c r="R454" s="35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43"/>
      <c r="B455" s="40"/>
      <c r="C455" s="44"/>
      <c r="D455" s="45"/>
      <c r="E455" s="44"/>
      <c r="F455" s="43"/>
      <c r="G455" s="43"/>
      <c r="H455" s="43"/>
      <c r="I455" s="46"/>
      <c r="J455" s="47"/>
      <c r="K455" s="48"/>
      <c r="L455" s="49"/>
      <c r="M455" s="49"/>
      <c r="N455" s="50"/>
      <c r="O455" s="43"/>
      <c r="P455" s="43"/>
      <c r="Q455" s="44"/>
      <c r="R455" s="35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43"/>
      <c r="B456" s="40"/>
      <c r="C456" s="44"/>
      <c r="D456" s="45"/>
      <c r="E456" s="44"/>
      <c r="F456" s="43"/>
      <c r="G456" s="43"/>
      <c r="H456" s="43"/>
      <c r="I456" s="46"/>
      <c r="J456" s="47"/>
      <c r="K456" s="48"/>
      <c r="L456" s="49"/>
      <c r="M456" s="49"/>
      <c r="N456" s="50"/>
      <c r="O456" s="43"/>
      <c r="P456" s="43"/>
      <c r="Q456" s="44"/>
      <c r="R456" s="35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43"/>
      <c r="B457" s="40"/>
      <c r="C457" s="44"/>
      <c r="D457" s="45"/>
      <c r="E457" s="44"/>
      <c r="F457" s="43"/>
      <c r="G457" s="43"/>
      <c r="H457" s="43"/>
      <c r="I457" s="46"/>
      <c r="J457" s="47"/>
      <c r="K457" s="48"/>
      <c r="L457" s="49"/>
      <c r="M457" s="49"/>
      <c r="N457" s="50"/>
      <c r="O457" s="43"/>
      <c r="P457" s="43"/>
      <c r="Q457" s="44"/>
      <c r="R457" s="35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43"/>
      <c r="B458" s="40"/>
      <c r="C458" s="44"/>
      <c r="D458" s="45"/>
      <c r="E458" s="44"/>
      <c r="F458" s="43"/>
      <c r="G458" s="43"/>
      <c r="H458" s="43"/>
      <c r="I458" s="46"/>
      <c r="J458" s="47"/>
      <c r="K458" s="48"/>
      <c r="L458" s="49"/>
      <c r="M458" s="49"/>
      <c r="N458" s="50"/>
      <c r="O458" s="43"/>
      <c r="P458" s="43"/>
      <c r="Q458" s="44"/>
      <c r="R458" s="35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43"/>
      <c r="B459" s="40"/>
      <c r="C459" s="44"/>
      <c r="D459" s="45"/>
      <c r="E459" s="44"/>
      <c r="F459" s="43"/>
      <c r="G459" s="43"/>
      <c r="H459" s="43"/>
      <c r="I459" s="46"/>
      <c r="J459" s="47"/>
      <c r="K459" s="48"/>
      <c r="L459" s="49"/>
      <c r="M459" s="49"/>
      <c r="N459" s="50"/>
      <c r="O459" s="43"/>
      <c r="P459" s="43"/>
      <c r="Q459" s="44"/>
      <c r="R459" s="35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43"/>
      <c r="B460" s="40"/>
      <c r="C460" s="44"/>
      <c r="D460" s="45"/>
      <c r="E460" s="44"/>
      <c r="F460" s="43"/>
      <c r="G460" s="43"/>
      <c r="H460" s="43"/>
      <c r="I460" s="46"/>
      <c r="J460" s="47"/>
      <c r="K460" s="48"/>
      <c r="L460" s="49"/>
      <c r="M460" s="49"/>
      <c r="N460" s="50"/>
      <c r="O460" s="43"/>
      <c r="P460" s="43"/>
      <c r="Q460" s="44"/>
      <c r="R460" s="35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43"/>
      <c r="B461" s="40"/>
      <c r="C461" s="44"/>
      <c r="D461" s="45"/>
      <c r="E461" s="44"/>
      <c r="F461" s="43"/>
      <c r="G461" s="43"/>
      <c r="H461" s="43"/>
      <c r="I461" s="46"/>
      <c r="J461" s="47"/>
      <c r="K461" s="48"/>
      <c r="L461" s="49"/>
      <c r="M461" s="49"/>
      <c r="N461" s="50"/>
      <c r="O461" s="43"/>
      <c r="P461" s="43"/>
      <c r="Q461" s="44"/>
      <c r="R461" s="35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43"/>
      <c r="B462" s="40"/>
      <c r="C462" s="44"/>
      <c r="D462" s="45"/>
      <c r="E462" s="44"/>
      <c r="F462" s="43"/>
      <c r="G462" s="43"/>
      <c r="H462" s="43"/>
      <c r="I462" s="46"/>
      <c r="J462" s="47"/>
      <c r="K462" s="48"/>
      <c r="L462" s="49"/>
      <c r="M462" s="49"/>
      <c r="N462" s="50"/>
      <c r="O462" s="43"/>
      <c r="P462" s="43"/>
      <c r="Q462" s="44"/>
      <c r="R462" s="35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43"/>
      <c r="B463" s="40"/>
      <c r="C463" s="44"/>
      <c r="D463" s="45"/>
      <c r="E463" s="44"/>
      <c r="F463" s="43"/>
      <c r="G463" s="43"/>
      <c r="H463" s="43"/>
      <c r="I463" s="46"/>
      <c r="J463" s="47"/>
      <c r="K463" s="48"/>
      <c r="L463" s="49"/>
      <c r="M463" s="49"/>
      <c r="N463" s="50"/>
      <c r="O463" s="43"/>
      <c r="P463" s="43"/>
      <c r="Q463" s="44"/>
      <c r="R463" s="35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43"/>
      <c r="B464" s="40"/>
      <c r="C464" s="44"/>
      <c r="D464" s="45"/>
      <c r="E464" s="44"/>
      <c r="F464" s="43"/>
      <c r="G464" s="43"/>
      <c r="H464" s="43"/>
      <c r="I464" s="46"/>
      <c r="J464" s="47"/>
      <c r="K464" s="48"/>
      <c r="L464" s="49"/>
      <c r="M464" s="49"/>
      <c r="N464" s="50"/>
      <c r="O464" s="43"/>
      <c r="P464" s="43"/>
      <c r="Q464" s="44"/>
      <c r="R464" s="35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43"/>
      <c r="B465" s="40"/>
      <c r="C465" s="44"/>
      <c r="D465" s="45"/>
      <c r="E465" s="44"/>
      <c r="F465" s="43"/>
      <c r="G465" s="43"/>
      <c r="H465" s="43"/>
      <c r="I465" s="46"/>
      <c r="J465" s="47"/>
      <c r="K465" s="48"/>
      <c r="L465" s="49"/>
      <c r="M465" s="49"/>
      <c r="N465" s="50"/>
      <c r="O465" s="43"/>
      <c r="P465" s="43"/>
      <c r="Q465" s="44"/>
      <c r="R465" s="35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43"/>
      <c r="B466" s="40"/>
      <c r="C466" s="44"/>
      <c r="D466" s="45"/>
      <c r="E466" s="44"/>
      <c r="F466" s="43"/>
      <c r="G466" s="43"/>
      <c r="H466" s="43"/>
      <c r="I466" s="46"/>
      <c r="J466" s="47"/>
      <c r="K466" s="48"/>
      <c r="L466" s="49"/>
      <c r="M466" s="49"/>
      <c r="N466" s="50"/>
      <c r="O466" s="43"/>
      <c r="P466" s="43"/>
      <c r="Q466" s="44"/>
      <c r="R466" s="35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43"/>
      <c r="B467" s="40"/>
      <c r="C467" s="44"/>
      <c r="D467" s="45"/>
      <c r="E467" s="44"/>
      <c r="F467" s="43"/>
      <c r="G467" s="43"/>
      <c r="H467" s="43"/>
      <c r="I467" s="46"/>
      <c r="J467" s="47"/>
      <c r="K467" s="48"/>
      <c r="L467" s="49"/>
      <c r="M467" s="49"/>
      <c r="N467" s="50"/>
      <c r="O467" s="43"/>
      <c r="P467" s="43"/>
      <c r="Q467" s="44"/>
      <c r="R467" s="35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43"/>
      <c r="B468" s="40"/>
      <c r="C468" s="44"/>
      <c r="D468" s="45"/>
      <c r="E468" s="44"/>
      <c r="F468" s="43"/>
      <c r="G468" s="43"/>
      <c r="H468" s="43"/>
      <c r="I468" s="46"/>
      <c r="J468" s="47"/>
      <c r="K468" s="48"/>
      <c r="L468" s="49"/>
      <c r="M468" s="49"/>
      <c r="N468" s="50"/>
      <c r="O468" s="43"/>
      <c r="P468" s="43"/>
      <c r="Q468" s="44"/>
      <c r="R468" s="35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43"/>
      <c r="B469" s="40"/>
      <c r="C469" s="44"/>
      <c r="D469" s="45"/>
      <c r="E469" s="44"/>
      <c r="F469" s="43"/>
      <c r="G469" s="43"/>
      <c r="H469" s="43"/>
      <c r="I469" s="46"/>
      <c r="J469" s="47"/>
      <c r="K469" s="48"/>
      <c r="L469" s="49"/>
      <c r="M469" s="49"/>
      <c r="N469" s="50"/>
      <c r="O469" s="43"/>
      <c r="P469" s="43"/>
      <c r="Q469" s="44"/>
      <c r="R469" s="35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43"/>
      <c r="B470" s="40"/>
      <c r="C470" s="44"/>
      <c r="D470" s="45"/>
      <c r="E470" s="44"/>
      <c r="F470" s="43"/>
      <c r="G470" s="43"/>
      <c r="H470" s="43"/>
      <c r="I470" s="46"/>
      <c r="J470" s="47"/>
      <c r="K470" s="48"/>
      <c r="L470" s="49"/>
      <c r="M470" s="49"/>
      <c r="N470" s="50"/>
      <c r="O470" s="43"/>
      <c r="P470" s="43"/>
      <c r="Q470" s="44"/>
      <c r="R470" s="35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43"/>
      <c r="B471" s="40"/>
      <c r="C471" s="44"/>
      <c r="D471" s="45"/>
      <c r="E471" s="44"/>
      <c r="F471" s="43"/>
      <c r="G471" s="43"/>
      <c r="H471" s="43"/>
      <c r="I471" s="46"/>
      <c r="J471" s="47"/>
      <c r="K471" s="48"/>
      <c r="L471" s="49"/>
      <c r="M471" s="49"/>
      <c r="N471" s="50"/>
      <c r="O471" s="43"/>
      <c r="P471" s="43"/>
      <c r="Q471" s="44"/>
      <c r="R471" s="35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43"/>
      <c r="B472" s="40"/>
      <c r="C472" s="44"/>
      <c r="D472" s="45"/>
      <c r="E472" s="44"/>
      <c r="F472" s="43"/>
      <c r="G472" s="43"/>
      <c r="H472" s="43"/>
      <c r="I472" s="46"/>
      <c r="J472" s="47"/>
      <c r="K472" s="48"/>
      <c r="L472" s="49"/>
      <c r="M472" s="49"/>
      <c r="N472" s="50"/>
      <c r="O472" s="43"/>
      <c r="P472" s="43"/>
      <c r="Q472" s="44"/>
      <c r="R472" s="35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43"/>
      <c r="B473" s="40"/>
      <c r="C473" s="44"/>
      <c r="D473" s="45"/>
      <c r="E473" s="44"/>
      <c r="F473" s="43"/>
      <c r="G473" s="43"/>
      <c r="H473" s="43"/>
      <c r="I473" s="46"/>
      <c r="J473" s="47"/>
      <c r="K473" s="48"/>
      <c r="L473" s="49"/>
      <c r="M473" s="49"/>
      <c r="N473" s="50"/>
      <c r="O473" s="43"/>
      <c r="P473" s="43"/>
      <c r="Q473" s="44"/>
      <c r="R473" s="35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43"/>
      <c r="B474" s="40"/>
      <c r="C474" s="44"/>
      <c r="D474" s="45"/>
      <c r="E474" s="44"/>
      <c r="F474" s="43"/>
      <c r="G474" s="43"/>
      <c r="H474" s="43"/>
      <c r="I474" s="46"/>
      <c r="J474" s="47"/>
      <c r="K474" s="48"/>
      <c r="L474" s="49"/>
      <c r="M474" s="49"/>
      <c r="N474" s="50"/>
      <c r="O474" s="43"/>
      <c r="P474" s="43"/>
      <c r="Q474" s="44"/>
      <c r="R474" s="35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43"/>
      <c r="B475" s="40"/>
      <c r="C475" s="44"/>
      <c r="D475" s="45"/>
      <c r="E475" s="44"/>
      <c r="F475" s="43"/>
      <c r="G475" s="43"/>
      <c r="H475" s="43"/>
      <c r="I475" s="46"/>
      <c r="J475" s="47"/>
      <c r="K475" s="48"/>
      <c r="L475" s="49"/>
      <c r="M475" s="49"/>
      <c r="N475" s="50"/>
      <c r="O475" s="43"/>
      <c r="P475" s="43"/>
      <c r="Q475" s="44"/>
      <c r="R475" s="35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43"/>
      <c r="B476" s="40"/>
      <c r="C476" s="44"/>
      <c r="D476" s="45"/>
      <c r="E476" s="44"/>
      <c r="F476" s="43"/>
      <c r="G476" s="43"/>
      <c r="H476" s="43"/>
      <c r="I476" s="46"/>
      <c r="J476" s="47"/>
      <c r="K476" s="48"/>
      <c r="L476" s="49"/>
      <c r="M476" s="49"/>
      <c r="N476" s="50"/>
      <c r="O476" s="43"/>
      <c r="P476" s="43"/>
      <c r="Q476" s="44"/>
      <c r="R476" s="35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43"/>
      <c r="B477" s="40"/>
      <c r="C477" s="44"/>
      <c r="D477" s="45"/>
      <c r="E477" s="44"/>
      <c r="F477" s="43"/>
      <c r="G477" s="43"/>
      <c r="H477" s="43"/>
      <c r="I477" s="46"/>
      <c r="J477" s="47"/>
      <c r="K477" s="48"/>
      <c r="L477" s="49"/>
      <c r="M477" s="49"/>
      <c r="N477" s="50"/>
      <c r="O477" s="43"/>
      <c r="P477" s="43"/>
      <c r="Q477" s="44"/>
      <c r="R477" s="35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43"/>
      <c r="B478" s="40"/>
      <c r="C478" s="44"/>
      <c r="D478" s="45"/>
      <c r="E478" s="44"/>
      <c r="F478" s="43"/>
      <c r="G478" s="43"/>
      <c r="H478" s="43"/>
      <c r="I478" s="46"/>
      <c r="J478" s="47"/>
      <c r="K478" s="48"/>
      <c r="L478" s="49"/>
      <c r="M478" s="49"/>
      <c r="N478" s="50"/>
      <c r="O478" s="43"/>
      <c r="P478" s="43"/>
      <c r="Q478" s="44"/>
      <c r="R478" s="35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43"/>
      <c r="B479" s="40"/>
      <c r="C479" s="44"/>
      <c r="D479" s="45"/>
      <c r="E479" s="44"/>
      <c r="F479" s="43"/>
      <c r="G479" s="43"/>
      <c r="H479" s="43"/>
      <c r="I479" s="46"/>
      <c r="J479" s="47"/>
      <c r="K479" s="48"/>
      <c r="L479" s="49"/>
      <c r="M479" s="49"/>
      <c r="N479" s="50"/>
      <c r="O479" s="43"/>
      <c r="P479" s="43"/>
      <c r="Q479" s="44"/>
      <c r="R479" s="35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43"/>
      <c r="B480" s="40"/>
      <c r="C480" s="44"/>
      <c r="D480" s="45"/>
      <c r="E480" s="44"/>
      <c r="F480" s="43"/>
      <c r="G480" s="43"/>
      <c r="H480" s="43"/>
      <c r="I480" s="46"/>
      <c r="J480" s="47"/>
      <c r="K480" s="48"/>
      <c r="L480" s="49"/>
      <c r="M480" s="49"/>
      <c r="N480" s="50"/>
      <c r="O480" s="43"/>
      <c r="P480" s="43"/>
      <c r="Q480" s="44"/>
      <c r="R480" s="35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43"/>
      <c r="B481" s="40"/>
      <c r="C481" s="44"/>
      <c r="D481" s="45"/>
      <c r="E481" s="44"/>
      <c r="F481" s="43"/>
      <c r="G481" s="43"/>
      <c r="H481" s="43"/>
      <c r="I481" s="46"/>
      <c r="J481" s="47"/>
      <c r="K481" s="48"/>
      <c r="L481" s="49"/>
      <c r="M481" s="49"/>
      <c r="N481" s="50"/>
      <c r="O481" s="43"/>
      <c r="P481" s="43"/>
      <c r="Q481" s="44"/>
      <c r="R481" s="35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43"/>
      <c r="B482" s="40"/>
      <c r="C482" s="44"/>
      <c r="D482" s="45"/>
      <c r="E482" s="44"/>
      <c r="F482" s="43"/>
      <c r="G482" s="43"/>
      <c r="H482" s="43"/>
      <c r="I482" s="46"/>
      <c r="J482" s="47"/>
      <c r="K482" s="48"/>
      <c r="L482" s="49"/>
      <c r="M482" s="49"/>
      <c r="N482" s="50"/>
      <c r="O482" s="43"/>
      <c r="P482" s="43"/>
      <c r="Q482" s="44"/>
      <c r="R482" s="35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43"/>
      <c r="B483" s="40"/>
      <c r="C483" s="44"/>
      <c r="D483" s="45"/>
      <c r="E483" s="44"/>
      <c r="F483" s="43"/>
      <c r="G483" s="43"/>
      <c r="H483" s="43"/>
      <c r="I483" s="46"/>
      <c r="J483" s="47"/>
      <c r="K483" s="48"/>
      <c r="L483" s="49"/>
      <c r="M483" s="49"/>
      <c r="N483" s="50"/>
      <c r="O483" s="43"/>
      <c r="P483" s="43"/>
      <c r="Q483" s="44"/>
      <c r="R483" s="35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43"/>
      <c r="B484" s="40"/>
      <c r="C484" s="44"/>
      <c r="D484" s="45"/>
      <c r="E484" s="44"/>
      <c r="F484" s="43"/>
      <c r="G484" s="43"/>
      <c r="H484" s="43"/>
      <c r="I484" s="46"/>
      <c r="J484" s="47"/>
      <c r="K484" s="48"/>
      <c r="L484" s="49"/>
      <c r="M484" s="49"/>
      <c r="N484" s="50"/>
      <c r="O484" s="43"/>
      <c r="P484" s="43"/>
      <c r="Q484" s="44"/>
      <c r="R484" s="35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43"/>
      <c r="B485" s="40"/>
      <c r="C485" s="44"/>
      <c r="D485" s="45"/>
      <c r="E485" s="44"/>
      <c r="F485" s="43"/>
      <c r="G485" s="43"/>
      <c r="H485" s="43"/>
      <c r="I485" s="46"/>
      <c r="J485" s="47"/>
      <c r="K485" s="48"/>
      <c r="L485" s="49"/>
      <c r="M485" s="49"/>
      <c r="N485" s="50"/>
      <c r="O485" s="43"/>
      <c r="P485" s="43"/>
      <c r="Q485" s="44"/>
      <c r="R485" s="35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43"/>
      <c r="B486" s="40"/>
      <c r="C486" s="44"/>
      <c r="D486" s="45"/>
      <c r="E486" s="44"/>
      <c r="F486" s="43"/>
      <c r="G486" s="43"/>
      <c r="H486" s="43"/>
      <c r="I486" s="46"/>
      <c r="J486" s="47"/>
      <c r="K486" s="48"/>
      <c r="L486" s="49"/>
      <c r="M486" s="49"/>
      <c r="N486" s="50"/>
      <c r="O486" s="43"/>
      <c r="P486" s="43"/>
      <c r="Q486" s="44"/>
      <c r="R486" s="35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43"/>
      <c r="B487" s="40"/>
      <c r="C487" s="44"/>
      <c r="D487" s="45"/>
      <c r="E487" s="44"/>
      <c r="F487" s="43"/>
      <c r="G487" s="43"/>
      <c r="H487" s="43"/>
      <c r="I487" s="46"/>
      <c r="J487" s="47"/>
      <c r="K487" s="48"/>
      <c r="L487" s="49"/>
      <c r="M487" s="49"/>
      <c r="N487" s="50"/>
      <c r="O487" s="43"/>
      <c r="P487" s="43"/>
      <c r="Q487" s="44"/>
      <c r="R487" s="35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43"/>
      <c r="B488" s="40"/>
      <c r="C488" s="44"/>
      <c r="D488" s="45"/>
      <c r="E488" s="44"/>
      <c r="F488" s="43"/>
      <c r="G488" s="43"/>
      <c r="H488" s="43"/>
      <c r="I488" s="46"/>
      <c r="J488" s="47"/>
      <c r="K488" s="48"/>
      <c r="L488" s="49"/>
      <c r="M488" s="49"/>
      <c r="N488" s="50"/>
      <c r="O488" s="43"/>
      <c r="P488" s="43"/>
      <c r="Q488" s="44"/>
      <c r="R488" s="35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43"/>
      <c r="B489" s="40"/>
      <c r="C489" s="44"/>
      <c r="D489" s="45"/>
      <c r="E489" s="44"/>
      <c r="F489" s="43"/>
      <c r="G489" s="43"/>
      <c r="H489" s="43"/>
      <c r="I489" s="46"/>
      <c r="J489" s="47"/>
      <c r="K489" s="48"/>
      <c r="L489" s="49"/>
      <c r="M489" s="49"/>
      <c r="N489" s="50"/>
      <c r="O489" s="43"/>
      <c r="P489" s="43"/>
      <c r="Q489" s="44"/>
      <c r="R489" s="35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43"/>
      <c r="B490" s="40"/>
      <c r="C490" s="44"/>
      <c r="D490" s="45"/>
      <c r="E490" s="44"/>
      <c r="F490" s="43"/>
      <c r="G490" s="43"/>
      <c r="H490" s="43"/>
      <c r="I490" s="46"/>
      <c r="J490" s="47"/>
      <c r="K490" s="48"/>
      <c r="L490" s="49"/>
      <c r="M490" s="49"/>
      <c r="N490" s="50"/>
      <c r="O490" s="43"/>
      <c r="P490" s="43"/>
      <c r="Q490" s="44"/>
      <c r="R490" s="35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43"/>
      <c r="B491" s="40"/>
      <c r="C491" s="44"/>
      <c r="D491" s="45"/>
      <c r="E491" s="44"/>
      <c r="F491" s="43"/>
      <c r="G491" s="43"/>
      <c r="H491" s="43"/>
      <c r="I491" s="46"/>
      <c r="J491" s="47"/>
      <c r="K491" s="48"/>
      <c r="L491" s="49"/>
      <c r="M491" s="49"/>
      <c r="N491" s="50"/>
      <c r="O491" s="43"/>
      <c r="P491" s="43"/>
      <c r="Q491" s="44"/>
      <c r="R491" s="35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43"/>
      <c r="B492" s="40"/>
      <c r="C492" s="44"/>
      <c r="D492" s="45"/>
      <c r="E492" s="44"/>
      <c r="F492" s="43"/>
      <c r="G492" s="43"/>
      <c r="H492" s="43"/>
      <c r="I492" s="46"/>
      <c r="J492" s="47"/>
      <c r="K492" s="48"/>
      <c r="L492" s="49"/>
      <c r="M492" s="49"/>
      <c r="N492" s="50"/>
      <c r="O492" s="43"/>
      <c r="P492" s="43"/>
      <c r="Q492" s="44"/>
      <c r="R492" s="35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43"/>
      <c r="B493" s="40"/>
      <c r="C493" s="44"/>
      <c r="D493" s="45"/>
      <c r="E493" s="44"/>
      <c r="F493" s="43"/>
      <c r="G493" s="43"/>
      <c r="H493" s="43"/>
      <c r="I493" s="46"/>
      <c r="J493" s="47"/>
      <c r="K493" s="48"/>
      <c r="L493" s="49"/>
      <c r="M493" s="49"/>
      <c r="N493" s="50"/>
      <c r="O493" s="43"/>
      <c r="P493" s="43"/>
      <c r="Q493" s="44"/>
      <c r="R493" s="35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43"/>
      <c r="B494" s="40"/>
      <c r="C494" s="44"/>
      <c r="D494" s="45"/>
      <c r="E494" s="44"/>
      <c r="F494" s="43"/>
      <c r="G494" s="43"/>
      <c r="H494" s="43"/>
      <c r="I494" s="46"/>
      <c r="J494" s="47"/>
      <c r="K494" s="48"/>
      <c r="L494" s="49"/>
      <c r="M494" s="49"/>
      <c r="N494" s="50"/>
      <c r="O494" s="43"/>
      <c r="P494" s="43"/>
      <c r="Q494" s="44"/>
      <c r="R494" s="35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43"/>
      <c r="B495" s="40"/>
      <c r="C495" s="44"/>
      <c r="D495" s="45"/>
      <c r="E495" s="44"/>
      <c r="F495" s="43"/>
      <c r="G495" s="43"/>
      <c r="H495" s="43"/>
      <c r="I495" s="46"/>
      <c r="J495" s="47"/>
      <c r="K495" s="48"/>
      <c r="L495" s="49"/>
      <c r="M495" s="49"/>
      <c r="N495" s="50"/>
      <c r="O495" s="43"/>
      <c r="P495" s="43"/>
      <c r="Q495" s="44"/>
      <c r="R495" s="35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43"/>
      <c r="B496" s="40"/>
      <c r="C496" s="44"/>
      <c r="D496" s="45"/>
      <c r="E496" s="44"/>
      <c r="F496" s="43"/>
      <c r="G496" s="43"/>
      <c r="H496" s="43"/>
      <c r="I496" s="46"/>
      <c r="J496" s="47"/>
      <c r="K496" s="48"/>
      <c r="L496" s="49"/>
      <c r="M496" s="49"/>
      <c r="N496" s="50"/>
      <c r="O496" s="43"/>
      <c r="P496" s="43"/>
      <c r="Q496" s="44"/>
      <c r="R496" s="35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43"/>
      <c r="B497" s="40"/>
      <c r="C497" s="44"/>
      <c r="D497" s="45"/>
      <c r="E497" s="44"/>
      <c r="F497" s="43"/>
      <c r="G497" s="43"/>
      <c r="H497" s="43"/>
      <c r="I497" s="46"/>
      <c r="J497" s="47"/>
      <c r="K497" s="48"/>
      <c r="L497" s="49"/>
      <c r="M497" s="49"/>
      <c r="N497" s="50"/>
      <c r="O497" s="43"/>
      <c r="P497" s="43"/>
      <c r="Q497" s="44"/>
      <c r="R497" s="35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43"/>
      <c r="B498" s="40"/>
      <c r="C498" s="44"/>
      <c r="D498" s="45"/>
      <c r="E498" s="44"/>
      <c r="F498" s="43"/>
      <c r="G498" s="43"/>
      <c r="H498" s="43"/>
      <c r="I498" s="46"/>
      <c r="J498" s="47"/>
      <c r="K498" s="48"/>
      <c r="L498" s="49"/>
      <c r="M498" s="49"/>
      <c r="N498" s="50"/>
      <c r="O498" s="43"/>
      <c r="P498" s="43"/>
      <c r="Q498" s="44"/>
      <c r="R498" s="35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43"/>
      <c r="B499" s="40"/>
      <c r="C499" s="44"/>
      <c r="D499" s="45"/>
      <c r="E499" s="44"/>
      <c r="F499" s="43"/>
      <c r="G499" s="43"/>
      <c r="H499" s="43"/>
      <c r="I499" s="46"/>
      <c r="J499" s="47"/>
      <c r="K499" s="48"/>
      <c r="L499" s="49"/>
      <c r="M499" s="49"/>
      <c r="N499" s="50"/>
      <c r="O499" s="43"/>
      <c r="P499" s="43"/>
      <c r="Q499" s="44"/>
      <c r="R499" s="35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43"/>
      <c r="B500" s="40"/>
      <c r="C500" s="44"/>
      <c r="D500" s="45"/>
      <c r="E500" s="44"/>
      <c r="F500" s="43"/>
      <c r="G500" s="43"/>
      <c r="H500" s="43"/>
      <c r="I500" s="46"/>
      <c r="J500" s="47"/>
      <c r="K500" s="48"/>
      <c r="L500" s="49"/>
      <c r="M500" s="49"/>
      <c r="N500" s="50"/>
      <c r="O500" s="43"/>
      <c r="P500" s="43"/>
      <c r="Q500" s="44"/>
      <c r="R500" s="35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43"/>
      <c r="B501" s="40"/>
      <c r="C501" s="44"/>
      <c r="D501" s="45"/>
      <c r="E501" s="44"/>
      <c r="F501" s="43"/>
      <c r="G501" s="43"/>
      <c r="H501" s="43"/>
      <c r="I501" s="46"/>
      <c r="J501" s="47"/>
      <c r="K501" s="48"/>
      <c r="L501" s="49"/>
      <c r="M501" s="49"/>
      <c r="N501" s="50"/>
      <c r="O501" s="43"/>
      <c r="P501" s="43"/>
      <c r="Q501" s="44"/>
      <c r="R501" s="35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43"/>
      <c r="B502" s="40"/>
      <c r="C502" s="44"/>
      <c r="D502" s="45"/>
      <c r="E502" s="44"/>
      <c r="F502" s="43"/>
      <c r="G502" s="43"/>
      <c r="H502" s="43"/>
      <c r="I502" s="46"/>
      <c r="J502" s="47"/>
      <c r="K502" s="48"/>
      <c r="L502" s="49"/>
      <c r="M502" s="49"/>
      <c r="N502" s="50"/>
      <c r="O502" s="43"/>
      <c r="P502" s="43"/>
      <c r="Q502" s="44"/>
      <c r="R502" s="35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43"/>
      <c r="B503" s="40"/>
      <c r="C503" s="44"/>
      <c r="D503" s="45"/>
      <c r="E503" s="44"/>
      <c r="F503" s="43"/>
      <c r="G503" s="43"/>
      <c r="H503" s="43"/>
      <c r="I503" s="46"/>
      <c r="J503" s="47"/>
      <c r="K503" s="48"/>
      <c r="L503" s="49"/>
      <c r="M503" s="49"/>
      <c r="N503" s="50"/>
      <c r="O503" s="43"/>
      <c r="P503" s="43"/>
      <c r="Q503" s="44"/>
      <c r="R503" s="35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43"/>
      <c r="B504" s="40"/>
      <c r="C504" s="44"/>
      <c r="D504" s="45"/>
      <c r="E504" s="44"/>
      <c r="F504" s="43"/>
      <c r="G504" s="43"/>
      <c r="H504" s="43"/>
      <c r="I504" s="46"/>
      <c r="J504" s="47"/>
      <c r="K504" s="48"/>
      <c r="L504" s="49"/>
      <c r="M504" s="49"/>
      <c r="N504" s="50"/>
      <c r="O504" s="43"/>
      <c r="P504" s="43"/>
      <c r="Q504" s="44"/>
      <c r="R504" s="35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43"/>
      <c r="B505" s="40"/>
      <c r="C505" s="44"/>
      <c r="D505" s="45"/>
      <c r="E505" s="44"/>
      <c r="F505" s="43"/>
      <c r="G505" s="43"/>
      <c r="H505" s="43"/>
      <c r="I505" s="46"/>
      <c r="J505" s="47"/>
      <c r="K505" s="48"/>
      <c r="L505" s="49"/>
      <c r="M505" s="49"/>
      <c r="N505" s="50"/>
      <c r="O505" s="43"/>
      <c r="P505" s="43"/>
      <c r="Q505" s="44"/>
      <c r="R505" s="35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43"/>
      <c r="B506" s="40"/>
      <c r="C506" s="44"/>
      <c r="D506" s="45"/>
      <c r="E506" s="44"/>
      <c r="F506" s="43"/>
      <c r="G506" s="43"/>
      <c r="H506" s="43"/>
      <c r="I506" s="46"/>
      <c r="J506" s="47"/>
      <c r="K506" s="48"/>
      <c r="L506" s="49"/>
      <c r="M506" s="49"/>
      <c r="N506" s="50"/>
      <c r="O506" s="43"/>
      <c r="P506" s="43"/>
      <c r="Q506" s="44"/>
      <c r="R506" s="35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43"/>
      <c r="B507" s="40"/>
      <c r="C507" s="44"/>
      <c r="D507" s="45"/>
      <c r="E507" s="44"/>
      <c r="F507" s="43"/>
      <c r="G507" s="43"/>
      <c r="H507" s="43"/>
      <c r="I507" s="46"/>
      <c r="J507" s="47"/>
      <c r="K507" s="48"/>
      <c r="L507" s="49"/>
      <c r="M507" s="49"/>
      <c r="N507" s="50"/>
      <c r="O507" s="43"/>
      <c r="P507" s="43"/>
      <c r="Q507" s="44"/>
      <c r="R507" s="35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43"/>
      <c r="B508" s="40"/>
      <c r="C508" s="44"/>
      <c r="D508" s="45"/>
      <c r="E508" s="44"/>
      <c r="F508" s="43"/>
      <c r="G508" s="43"/>
      <c r="H508" s="43"/>
      <c r="I508" s="46"/>
      <c r="J508" s="47"/>
      <c r="K508" s="48"/>
      <c r="L508" s="49"/>
      <c r="M508" s="49"/>
      <c r="N508" s="50"/>
      <c r="O508" s="43"/>
      <c r="P508" s="43"/>
      <c r="Q508" s="44"/>
      <c r="R508" s="35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43"/>
      <c r="B509" s="40"/>
      <c r="C509" s="44"/>
      <c r="D509" s="45"/>
      <c r="E509" s="44"/>
      <c r="F509" s="43"/>
      <c r="G509" s="43"/>
      <c r="H509" s="43"/>
      <c r="I509" s="46"/>
      <c r="J509" s="47"/>
      <c r="K509" s="48"/>
      <c r="L509" s="49"/>
      <c r="M509" s="49"/>
      <c r="N509" s="50"/>
      <c r="O509" s="43"/>
      <c r="P509" s="43"/>
      <c r="Q509" s="44"/>
      <c r="R509" s="35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43"/>
      <c r="B510" s="40"/>
      <c r="C510" s="44"/>
      <c r="D510" s="45"/>
      <c r="E510" s="44"/>
      <c r="F510" s="43"/>
      <c r="G510" s="43"/>
      <c r="H510" s="43"/>
      <c r="I510" s="46"/>
      <c r="J510" s="47"/>
      <c r="K510" s="48"/>
      <c r="L510" s="49"/>
      <c r="M510" s="49"/>
      <c r="N510" s="50"/>
      <c r="O510" s="43"/>
      <c r="P510" s="43"/>
      <c r="Q510" s="44"/>
      <c r="R510" s="35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43"/>
      <c r="B511" s="40"/>
      <c r="C511" s="44"/>
      <c r="D511" s="45"/>
      <c r="E511" s="44"/>
      <c r="F511" s="43"/>
      <c r="G511" s="43"/>
      <c r="H511" s="43"/>
      <c r="I511" s="46"/>
      <c r="J511" s="47"/>
      <c r="K511" s="48"/>
      <c r="L511" s="49"/>
      <c r="M511" s="49"/>
      <c r="N511" s="50"/>
      <c r="O511" s="43"/>
      <c r="P511" s="43"/>
      <c r="Q511" s="44"/>
      <c r="R511" s="35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43"/>
      <c r="B512" s="40"/>
      <c r="C512" s="44"/>
      <c r="D512" s="45"/>
      <c r="E512" s="44"/>
      <c r="F512" s="43"/>
      <c r="G512" s="43"/>
      <c r="H512" s="43"/>
      <c r="I512" s="46"/>
      <c r="J512" s="47"/>
      <c r="K512" s="48"/>
      <c r="L512" s="49"/>
      <c r="M512" s="49"/>
      <c r="N512" s="50"/>
      <c r="O512" s="43"/>
      <c r="P512" s="43"/>
      <c r="Q512" s="44"/>
      <c r="R512" s="35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43"/>
      <c r="B513" s="40"/>
      <c r="C513" s="44"/>
      <c r="D513" s="45"/>
      <c r="E513" s="44"/>
      <c r="F513" s="43"/>
      <c r="G513" s="43"/>
      <c r="H513" s="43"/>
      <c r="I513" s="46"/>
      <c r="J513" s="47"/>
      <c r="K513" s="48"/>
      <c r="L513" s="49"/>
      <c r="M513" s="49"/>
      <c r="N513" s="50"/>
      <c r="O513" s="43"/>
      <c r="P513" s="43"/>
      <c r="Q513" s="44"/>
      <c r="R513" s="35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43"/>
      <c r="B514" s="40"/>
      <c r="C514" s="44"/>
      <c r="D514" s="45"/>
      <c r="E514" s="44"/>
      <c r="F514" s="43"/>
      <c r="G514" s="43"/>
      <c r="H514" s="43"/>
      <c r="I514" s="46"/>
      <c r="J514" s="47"/>
      <c r="K514" s="48"/>
      <c r="L514" s="49"/>
      <c r="M514" s="49"/>
      <c r="N514" s="50"/>
      <c r="O514" s="43"/>
      <c r="P514" s="43"/>
      <c r="Q514" s="44"/>
      <c r="R514" s="35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43"/>
      <c r="B515" s="40"/>
      <c r="C515" s="44"/>
      <c r="D515" s="45"/>
      <c r="E515" s="44"/>
      <c r="F515" s="43"/>
      <c r="G515" s="43"/>
      <c r="H515" s="43"/>
      <c r="I515" s="46"/>
      <c r="J515" s="47"/>
      <c r="K515" s="48"/>
      <c r="L515" s="49"/>
      <c r="M515" s="49"/>
      <c r="N515" s="50"/>
      <c r="O515" s="43"/>
      <c r="P515" s="43"/>
      <c r="Q515" s="44"/>
      <c r="R515" s="35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43"/>
      <c r="B516" s="40"/>
      <c r="C516" s="44"/>
      <c r="D516" s="45"/>
      <c r="E516" s="44"/>
      <c r="F516" s="43"/>
      <c r="G516" s="43"/>
      <c r="H516" s="43"/>
      <c r="I516" s="46"/>
      <c r="J516" s="47"/>
      <c r="K516" s="48"/>
      <c r="L516" s="49"/>
      <c r="M516" s="49"/>
      <c r="N516" s="50"/>
      <c r="O516" s="43"/>
      <c r="P516" s="43"/>
      <c r="Q516" s="44"/>
      <c r="R516" s="35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43"/>
      <c r="B517" s="40"/>
      <c r="C517" s="44"/>
      <c r="D517" s="45"/>
      <c r="E517" s="44"/>
      <c r="F517" s="43"/>
      <c r="G517" s="43"/>
      <c r="H517" s="43"/>
      <c r="I517" s="46"/>
      <c r="J517" s="47"/>
      <c r="K517" s="48"/>
      <c r="L517" s="49"/>
      <c r="M517" s="49"/>
      <c r="N517" s="50"/>
      <c r="O517" s="43"/>
      <c r="P517" s="43"/>
      <c r="Q517" s="44"/>
      <c r="R517" s="35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43"/>
      <c r="B518" s="40"/>
      <c r="C518" s="44"/>
      <c r="D518" s="45"/>
      <c r="E518" s="44"/>
      <c r="F518" s="43"/>
      <c r="G518" s="43"/>
      <c r="H518" s="43"/>
      <c r="I518" s="46"/>
      <c r="J518" s="47"/>
      <c r="K518" s="48"/>
      <c r="L518" s="49"/>
      <c r="M518" s="49"/>
      <c r="N518" s="50"/>
      <c r="O518" s="43"/>
      <c r="P518" s="43"/>
      <c r="Q518" s="44"/>
      <c r="R518" s="35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43"/>
      <c r="B519" s="40"/>
      <c r="C519" s="44"/>
      <c r="D519" s="45"/>
      <c r="E519" s="44"/>
      <c r="F519" s="43"/>
      <c r="G519" s="43"/>
      <c r="H519" s="43"/>
      <c r="I519" s="46"/>
      <c r="J519" s="47"/>
      <c r="K519" s="48"/>
      <c r="L519" s="49"/>
      <c r="M519" s="49"/>
      <c r="N519" s="50"/>
      <c r="O519" s="43"/>
      <c r="P519" s="43"/>
      <c r="Q519" s="44"/>
      <c r="R519" s="35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43"/>
      <c r="B520" s="40"/>
      <c r="C520" s="44"/>
      <c r="D520" s="45"/>
      <c r="E520" s="44"/>
      <c r="F520" s="43"/>
      <c r="G520" s="43"/>
      <c r="H520" s="43"/>
      <c r="I520" s="46"/>
      <c r="J520" s="47"/>
      <c r="K520" s="48"/>
      <c r="L520" s="49"/>
      <c r="M520" s="49"/>
      <c r="N520" s="50"/>
      <c r="O520" s="43"/>
      <c r="P520" s="43"/>
      <c r="Q520" s="44"/>
      <c r="R520" s="35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43"/>
      <c r="B521" s="40"/>
      <c r="C521" s="44"/>
      <c r="D521" s="45"/>
      <c r="E521" s="44"/>
      <c r="F521" s="43"/>
      <c r="G521" s="43"/>
      <c r="H521" s="43"/>
      <c r="I521" s="46"/>
      <c r="J521" s="47"/>
      <c r="K521" s="48"/>
      <c r="L521" s="49"/>
      <c r="M521" s="49"/>
      <c r="N521" s="50"/>
      <c r="O521" s="43"/>
      <c r="P521" s="43"/>
      <c r="Q521" s="44"/>
      <c r="R521" s="35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43"/>
      <c r="B522" s="40"/>
      <c r="C522" s="44"/>
      <c r="D522" s="45"/>
      <c r="E522" s="44"/>
      <c r="F522" s="43"/>
      <c r="G522" s="43"/>
      <c r="H522" s="43"/>
      <c r="I522" s="46"/>
      <c r="J522" s="47"/>
      <c r="K522" s="48"/>
      <c r="L522" s="49"/>
      <c r="M522" s="49"/>
      <c r="N522" s="50"/>
      <c r="O522" s="43"/>
      <c r="P522" s="43"/>
      <c r="Q522" s="44"/>
      <c r="R522" s="35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43"/>
      <c r="B523" s="40"/>
      <c r="C523" s="44"/>
      <c r="D523" s="45"/>
      <c r="E523" s="44"/>
      <c r="F523" s="43"/>
      <c r="G523" s="43"/>
      <c r="H523" s="43"/>
      <c r="I523" s="46"/>
      <c r="J523" s="47"/>
      <c r="K523" s="48"/>
      <c r="L523" s="49"/>
      <c r="M523" s="49"/>
      <c r="N523" s="50"/>
      <c r="O523" s="43"/>
      <c r="P523" s="43"/>
      <c r="Q523" s="44"/>
      <c r="R523" s="35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43"/>
      <c r="B524" s="40"/>
      <c r="C524" s="44"/>
      <c r="D524" s="45"/>
      <c r="E524" s="44"/>
      <c r="F524" s="43"/>
      <c r="G524" s="43"/>
      <c r="H524" s="43"/>
      <c r="I524" s="46"/>
      <c r="J524" s="47"/>
      <c r="K524" s="48"/>
      <c r="L524" s="49"/>
      <c r="M524" s="49"/>
      <c r="N524" s="50"/>
      <c r="O524" s="43"/>
      <c r="P524" s="43"/>
      <c r="Q524" s="44"/>
      <c r="R524" s="35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43"/>
      <c r="B525" s="40"/>
      <c r="C525" s="44"/>
      <c r="D525" s="45"/>
      <c r="E525" s="44"/>
      <c r="F525" s="43"/>
      <c r="G525" s="43"/>
      <c r="H525" s="43"/>
      <c r="I525" s="46"/>
      <c r="J525" s="47"/>
      <c r="K525" s="48"/>
      <c r="L525" s="49"/>
      <c r="M525" s="49"/>
      <c r="N525" s="50"/>
      <c r="O525" s="43"/>
      <c r="P525" s="43"/>
      <c r="Q525" s="44"/>
      <c r="R525" s="35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43"/>
      <c r="B526" s="40"/>
      <c r="C526" s="44"/>
      <c r="D526" s="45"/>
      <c r="E526" s="44"/>
      <c r="F526" s="43"/>
      <c r="G526" s="43"/>
      <c r="H526" s="43"/>
      <c r="I526" s="46"/>
      <c r="J526" s="47"/>
      <c r="K526" s="48"/>
      <c r="L526" s="49"/>
      <c r="M526" s="49"/>
      <c r="N526" s="50"/>
      <c r="O526" s="43"/>
      <c r="P526" s="43"/>
      <c r="Q526" s="44"/>
      <c r="R526" s="35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43"/>
      <c r="B527" s="40"/>
      <c r="C527" s="44"/>
      <c r="D527" s="45"/>
      <c r="E527" s="44"/>
      <c r="F527" s="43"/>
      <c r="G527" s="43"/>
      <c r="H527" s="43"/>
      <c r="I527" s="46"/>
      <c r="J527" s="47"/>
      <c r="K527" s="48"/>
      <c r="L527" s="49"/>
      <c r="M527" s="49"/>
      <c r="N527" s="50"/>
      <c r="O527" s="43"/>
      <c r="P527" s="43"/>
      <c r="Q527" s="44"/>
      <c r="R527" s="35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43"/>
      <c r="B528" s="40"/>
      <c r="C528" s="44"/>
      <c r="D528" s="45"/>
      <c r="E528" s="44"/>
      <c r="F528" s="43"/>
      <c r="G528" s="43"/>
      <c r="H528" s="43"/>
      <c r="I528" s="46"/>
      <c r="J528" s="47"/>
      <c r="K528" s="48"/>
      <c r="L528" s="49"/>
      <c r="M528" s="49"/>
      <c r="N528" s="50"/>
      <c r="O528" s="43"/>
      <c r="P528" s="43"/>
      <c r="Q528" s="44"/>
      <c r="R528" s="35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43"/>
      <c r="B529" s="40"/>
      <c r="C529" s="44"/>
      <c r="D529" s="45"/>
      <c r="E529" s="44"/>
      <c r="F529" s="43"/>
      <c r="G529" s="43"/>
      <c r="H529" s="43"/>
      <c r="I529" s="46"/>
      <c r="J529" s="47"/>
      <c r="K529" s="48"/>
      <c r="L529" s="49"/>
      <c r="M529" s="49"/>
      <c r="N529" s="50"/>
      <c r="O529" s="43"/>
      <c r="P529" s="43"/>
      <c r="Q529" s="44"/>
      <c r="R529" s="35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43"/>
      <c r="B530" s="40"/>
      <c r="C530" s="44"/>
      <c r="D530" s="45"/>
      <c r="E530" s="44"/>
      <c r="F530" s="43"/>
      <c r="G530" s="43"/>
      <c r="H530" s="43"/>
      <c r="I530" s="46"/>
      <c r="J530" s="47"/>
      <c r="K530" s="48"/>
      <c r="L530" s="49"/>
      <c r="M530" s="49"/>
      <c r="N530" s="50"/>
      <c r="O530" s="43"/>
      <c r="P530" s="43"/>
      <c r="Q530" s="44"/>
      <c r="R530" s="35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43"/>
      <c r="B531" s="40"/>
      <c r="C531" s="44"/>
      <c r="D531" s="45"/>
      <c r="E531" s="44"/>
      <c r="F531" s="43"/>
      <c r="G531" s="43"/>
      <c r="H531" s="43"/>
      <c r="I531" s="46"/>
      <c r="J531" s="47"/>
      <c r="K531" s="48"/>
      <c r="L531" s="49"/>
      <c r="M531" s="49"/>
      <c r="N531" s="50"/>
      <c r="O531" s="43"/>
      <c r="P531" s="43"/>
      <c r="Q531" s="44"/>
      <c r="R531" s="35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43"/>
      <c r="B532" s="40"/>
      <c r="C532" s="44"/>
      <c r="D532" s="45"/>
      <c r="E532" s="44"/>
      <c r="F532" s="43"/>
      <c r="G532" s="43"/>
      <c r="H532" s="43"/>
      <c r="I532" s="46"/>
      <c r="J532" s="47"/>
      <c r="K532" s="48"/>
      <c r="L532" s="49"/>
      <c r="M532" s="49"/>
      <c r="N532" s="50"/>
      <c r="O532" s="43"/>
      <c r="P532" s="43"/>
      <c r="Q532" s="44"/>
      <c r="R532" s="35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43"/>
      <c r="B533" s="40"/>
      <c r="C533" s="44"/>
      <c r="D533" s="45"/>
      <c r="E533" s="44"/>
      <c r="F533" s="43"/>
      <c r="G533" s="43"/>
      <c r="H533" s="43"/>
      <c r="I533" s="46"/>
      <c r="J533" s="47"/>
      <c r="K533" s="48"/>
      <c r="L533" s="49"/>
      <c r="M533" s="49"/>
      <c r="N533" s="50"/>
      <c r="O533" s="43"/>
      <c r="P533" s="43"/>
      <c r="Q533" s="44"/>
      <c r="R533" s="35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43"/>
      <c r="B534" s="40"/>
      <c r="C534" s="44"/>
      <c r="D534" s="45"/>
      <c r="E534" s="44"/>
      <c r="F534" s="43"/>
      <c r="G534" s="43"/>
      <c r="H534" s="43"/>
      <c r="I534" s="46"/>
      <c r="J534" s="47"/>
      <c r="K534" s="48"/>
      <c r="L534" s="49"/>
      <c r="M534" s="49"/>
      <c r="N534" s="50"/>
      <c r="O534" s="43"/>
      <c r="P534" s="43"/>
      <c r="Q534" s="44"/>
      <c r="R534" s="35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43"/>
      <c r="B535" s="40"/>
      <c r="C535" s="44"/>
      <c r="D535" s="45"/>
      <c r="E535" s="44"/>
      <c r="F535" s="43"/>
      <c r="G535" s="43"/>
      <c r="H535" s="43"/>
      <c r="I535" s="46"/>
      <c r="J535" s="47"/>
      <c r="K535" s="48"/>
      <c r="L535" s="49"/>
      <c r="M535" s="49"/>
      <c r="N535" s="50"/>
      <c r="O535" s="43"/>
      <c r="P535" s="43"/>
      <c r="Q535" s="44"/>
      <c r="R535" s="35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43"/>
      <c r="B536" s="40"/>
      <c r="C536" s="44"/>
      <c r="D536" s="45"/>
      <c r="E536" s="44"/>
      <c r="F536" s="43"/>
      <c r="G536" s="43"/>
      <c r="H536" s="43"/>
      <c r="I536" s="46"/>
      <c r="J536" s="47"/>
      <c r="K536" s="48"/>
      <c r="L536" s="49"/>
      <c r="M536" s="49"/>
      <c r="N536" s="50"/>
      <c r="O536" s="43"/>
      <c r="P536" s="43"/>
      <c r="Q536" s="44"/>
      <c r="R536" s="35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43"/>
      <c r="B537" s="40"/>
      <c r="C537" s="44"/>
      <c r="D537" s="45"/>
      <c r="E537" s="44"/>
      <c r="F537" s="43"/>
      <c r="G537" s="43"/>
      <c r="H537" s="43"/>
      <c r="I537" s="46"/>
      <c r="J537" s="47"/>
      <c r="K537" s="48"/>
      <c r="L537" s="49"/>
      <c r="M537" s="49"/>
      <c r="N537" s="50"/>
      <c r="O537" s="43"/>
      <c r="P537" s="43"/>
      <c r="Q537" s="44"/>
      <c r="R537" s="35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43"/>
      <c r="B538" s="40"/>
      <c r="C538" s="44"/>
      <c r="D538" s="45"/>
      <c r="E538" s="44"/>
      <c r="F538" s="43"/>
      <c r="G538" s="43"/>
      <c r="H538" s="43"/>
      <c r="I538" s="46"/>
      <c r="J538" s="47"/>
      <c r="K538" s="48"/>
      <c r="L538" s="49"/>
      <c r="M538" s="49"/>
      <c r="N538" s="50"/>
      <c r="O538" s="43"/>
      <c r="P538" s="43"/>
      <c r="Q538" s="44"/>
      <c r="R538" s="35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43"/>
      <c r="B539" s="40"/>
      <c r="C539" s="44"/>
      <c r="D539" s="45"/>
      <c r="E539" s="44"/>
      <c r="F539" s="43"/>
      <c r="G539" s="43"/>
      <c r="H539" s="43"/>
      <c r="I539" s="46"/>
      <c r="J539" s="47"/>
      <c r="K539" s="48"/>
      <c r="L539" s="49"/>
      <c r="M539" s="49"/>
      <c r="N539" s="50"/>
      <c r="O539" s="43"/>
      <c r="P539" s="43"/>
      <c r="Q539" s="44"/>
      <c r="R539" s="35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43"/>
      <c r="B540" s="40"/>
      <c r="C540" s="44"/>
      <c r="D540" s="45"/>
      <c r="E540" s="44"/>
      <c r="F540" s="43"/>
      <c r="G540" s="43"/>
      <c r="H540" s="43"/>
      <c r="I540" s="46"/>
      <c r="J540" s="47"/>
      <c r="K540" s="48"/>
      <c r="L540" s="49"/>
      <c r="M540" s="49"/>
      <c r="N540" s="50"/>
      <c r="O540" s="43"/>
      <c r="P540" s="43"/>
      <c r="Q540" s="44"/>
      <c r="R540" s="35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43"/>
      <c r="B541" s="40"/>
      <c r="C541" s="44"/>
      <c r="D541" s="45"/>
      <c r="E541" s="44"/>
      <c r="F541" s="43"/>
      <c r="G541" s="43"/>
      <c r="H541" s="43"/>
      <c r="I541" s="46"/>
      <c r="J541" s="47"/>
      <c r="K541" s="48"/>
      <c r="L541" s="49"/>
      <c r="M541" s="49"/>
      <c r="N541" s="50"/>
      <c r="O541" s="43"/>
      <c r="P541" s="43"/>
      <c r="Q541" s="44"/>
      <c r="R541" s="35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43"/>
      <c r="B542" s="40"/>
      <c r="C542" s="44"/>
      <c r="D542" s="45"/>
      <c r="E542" s="44"/>
      <c r="F542" s="43"/>
      <c r="G542" s="43"/>
      <c r="H542" s="43"/>
      <c r="I542" s="46"/>
      <c r="J542" s="47"/>
      <c r="K542" s="48"/>
      <c r="L542" s="49"/>
      <c r="M542" s="49"/>
      <c r="N542" s="50"/>
      <c r="O542" s="43"/>
      <c r="P542" s="43"/>
      <c r="Q542" s="44"/>
      <c r="R542" s="35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43"/>
      <c r="B543" s="40"/>
      <c r="C543" s="44"/>
      <c r="D543" s="45"/>
      <c r="E543" s="44"/>
      <c r="F543" s="43"/>
      <c r="G543" s="43"/>
      <c r="H543" s="43"/>
      <c r="I543" s="46"/>
      <c r="J543" s="47"/>
      <c r="K543" s="48"/>
      <c r="L543" s="49"/>
      <c r="M543" s="49"/>
      <c r="N543" s="50"/>
      <c r="O543" s="43"/>
      <c r="P543" s="43"/>
      <c r="Q543" s="44"/>
      <c r="R543" s="35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43"/>
      <c r="B544" s="40"/>
      <c r="C544" s="44"/>
      <c r="D544" s="45"/>
      <c r="E544" s="44"/>
      <c r="F544" s="43"/>
      <c r="G544" s="43"/>
      <c r="H544" s="43"/>
      <c r="I544" s="46"/>
      <c r="J544" s="47"/>
      <c r="K544" s="48"/>
      <c r="L544" s="49"/>
      <c r="M544" s="49"/>
      <c r="N544" s="50"/>
      <c r="O544" s="43"/>
      <c r="P544" s="43"/>
      <c r="Q544" s="44"/>
      <c r="R544" s="35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43"/>
      <c r="B545" s="40"/>
      <c r="C545" s="44"/>
      <c r="D545" s="45"/>
      <c r="E545" s="44"/>
      <c r="F545" s="43"/>
      <c r="G545" s="43"/>
      <c r="H545" s="43"/>
      <c r="I545" s="46"/>
      <c r="J545" s="47"/>
      <c r="K545" s="48"/>
      <c r="L545" s="49"/>
      <c r="M545" s="49"/>
      <c r="N545" s="50"/>
      <c r="O545" s="43"/>
      <c r="P545" s="43"/>
      <c r="Q545" s="44"/>
      <c r="R545" s="35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43"/>
      <c r="B546" s="40"/>
      <c r="C546" s="44"/>
      <c r="D546" s="45"/>
      <c r="E546" s="44"/>
      <c r="F546" s="43"/>
      <c r="G546" s="43"/>
      <c r="H546" s="43"/>
      <c r="I546" s="46"/>
      <c r="J546" s="47"/>
      <c r="K546" s="48"/>
      <c r="L546" s="49"/>
      <c r="M546" s="49"/>
      <c r="N546" s="50"/>
      <c r="O546" s="43"/>
      <c r="P546" s="43"/>
      <c r="Q546" s="44"/>
      <c r="R546" s="35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43"/>
      <c r="B547" s="40"/>
      <c r="C547" s="44"/>
      <c r="D547" s="45"/>
      <c r="E547" s="44"/>
      <c r="F547" s="43"/>
      <c r="G547" s="43"/>
      <c r="H547" s="43"/>
      <c r="I547" s="46"/>
      <c r="J547" s="47"/>
      <c r="K547" s="48"/>
      <c r="L547" s="49"/>
      <c r="M547" s="49"/>
      <c r="N547" s="50"/>
      <c r="O547" s="43"/>
      <c r="P547" s="43"/>
      <c r="Q547" s="44"/>
      <c r="R547" s="35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43"/>
      <c r="B548" s="40"/>
      <c r="C548" s="44"/>
      <c r="D548" s="45"/>
      <c r="E548" s="44"/>
      <c r="F548" s="43"/>
      <c r="G548" s="43"/>
      <c r="H548" s="43"/>
      <c r="I548" s="46"/>
      <c r="J548" s="47"/>
      <c r="K548" s="48"/>
      <c r="L548" s="49"/>
      <c r="M548" s="49"/>
      <c r="N548" s="50"/>
      <c r="O548" s="43"/>
      <c r="P548" s="43"/>
      <c r="Q548" s="44"/>
      <c r="R548" s="35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43"/>
      <c r="B549" s="40"/>
      <c r="C549" s="44"/>
      <c r="D549" s="45"/>
      <c r="E549" s="44"/>
      <c r="F549" s="43"/>
      <c r="G549" s="43"/>
      <c r="H549" s="43"/>
      <c r="I549" s="46"/>
      <c r="J549" s="47"/>
      <c r="K549" s="48"/>
      <c r="L549" s="49"/>
      <c r="M549" s="49"/>
      <c r="N549" s="50"/>
      <c r="O549" s="43"/>
      <c r="P549" s="43"/>
      <c r="Q549" s="44"/>
      <c r="R549" s="35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43"/>
      <c r="B550" s="40"/>
      <c r="C550" s="44"/>
      <c r="D550" s="45"/>
      <c r="E550" s="44"/>
      <c r="F550" s="43"/>
      <c r="G550" s="43"/>
      <c r="H550" s="43"/>
      <c r="I550" s="46"/>
      <c r="J550" s="47"/>
      <c r="K550" s="48"/>
      <c r="L550" s="49"/>
      <c r="M550" s="49"/>
      <c r="N550" s="50"/>
      <c r="O550" s="43"/>
      <c r="P550" s="43"/>
      <c r="Q550" s="44"/>
      <c r="R550" s="35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43"/>
      <c r="B551" s="40"/>
      <c r="C551" s="44"/>
      <c r="D551" s="45"/>
      <c r="E551" s="44"/>
      <c r="F551" s="43"/>
      <c r="G551" s="43"/>
      <c r="H551" s="43"/>
      <c r="I551" s="46"/>
      <c r="J551" s="47"/>
      <c r="K551" s="48"/>
      <c r="L551" s="49"/>
      <c r="M551" s="49"/>
      <c r="N551" s="50"/>
      <c r="O551" s="43"/>
      <c r="P551" s="43"/>
      <c r="Q551" s="44"/>
      <c r="R551" s="35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43"/>
      <c r="B552" s="40"/>
      <c r="C552" s="44"/>
      <c r="D552" s="45"/>
      <c r="E552" s="44"/>
      <c r="F552" s="43"/>
      <c r="G552" s="43"/>
      <c r="H552" s="43"/>
      <c r="I552" s="46"/>
      <c r="J552" s="47"/>
      <c r="K552" s="48"/>
      <c r="L552" s="49"/>
      <c r="M552" s="49"/>
      <c r="N552" s="50"/>
      <c r="O552" s="43"/>
      <c r="P552" s="43"/>
      <c r="Q552" s="44"/>
      <c r="R552" s="35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43"/>
      <c r="B553" s="40"/>
      <c r="C553" s="44"/>
      <c r="D553" s="45"/>
      <c r="E553" s="44"/>
      <c r="F553" s="43"/>
      <c r="G553" s="43"/>
      <c r="H553" s="43"/>
      <c r="I553" s="46"/>
      <c r="J553" s="47"/>
      <c r="K553" s="48"/>
      <c r="L553" s="49"/>
      <c r="M553" s="49"/>
      <c r="N553" s="50"/>
      <c r="O553" s="43"/>
      <c r="P553" s="43"/>
      <c r="Q553" s="44"/>
      <c r="R553" s="35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43"/>
      <c r="B554" s="40"/>
      <c r="C554" s="44"/>
      <c r="D554" s="45"/>
      <c r="E554" s="44"/>
      <c r="F554" s="43"/>
      <c r="G554" s="43"/>
      <c r="H554" s="43"/>
      <c r="I554" s="46"/>
      <c r="J554" s="47"/>
      <c r="K554" s="48"/>
      <c r="L554" s="49"/>
      <c r="M554" s="49"/>
      <c r="N554" s="50"/>
      <c r="O554" s="43"/>
      <c r="P554" s="43"/>
      <c r="Q554" s="44"/>
      <c r="R554" s="35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43"/>
      <c r="B555" s="40"/>
      <c r="C555" s="44"/>
      <c r="D555" s="45"/>
      <c r="E555" s="44"/>
      <c r="F555" s="43"/>
      <c r="G555" s="43"/>
      <c r="H555" s="43"/>
      <c r="I555" s="46"/>
      <c r="J555" s="47"/>
      <c r="K555" s="48"/>
      <c r="L555" s="49"/>
      <c r="M555" s="49"/>
      <c r="N555" s="50"/>
      <c r="O555" s="43"/>
      <c r="P555" s="43"/>
      <c r="Q555" s="44"/>
      <c r="R555" s="35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43"/>
      <c r="B556" s="40"/>
      <c r="C556" s="44"/>
      <c r="D556" s="45"/>
      <c r="E556" s="44"/>
      <c r="F556" s="43"/>
      <c r="G556" s="43"/>
      <c r="H556" s="43"/>
      <c r="I556" s="46"/>
      <c r="J556" s="47"/>
      <c r="K556" s="48"/>
      <c r="L556" s="49"/>
      <c r="M556" s="49"/>
      <c r="N556" s="50"/>
      <c r="O556" s="43"/>
      <c r="P556" s="43"/>
      <c r="Q556" s="44"/>
      <c r="R556" s="35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43"/>
      <c r="B557" s="40"/>
      <c r="C557" s="44"/>
      <c r="D557" s="45"/>
      <c r="E557" s="44"/>
      <c r="F557" s="43"/>
      <c r="G557" s="43"/>
      <c r="H557" s="43"/>
      <c r="I557" s="46"/>
      <c r="J557" s="47"/>
      <c r="K557" s="48"/>
      <c r="L557" s="49"/>
      <c r="M557" s="49"/>
      <c r="N557" s="50"/>
      <c r="O557" s="43"/>
      <c r="P557" s="43"/>
      <c r="Q557" s="44"/>
      <c r="R557" s="35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43"/>
      <c r="B558" s="40"/>
      <c r="C558" s="44"/>
      <c r="D558" s="45"/>
      <c r="E558" s="44"/>
      <c r="F558" s="43"/>
      <c r="G558" s="43"/>
      <c r="H558" s="43"/>
      <c r="I558" s="46"/>
      <c r="J558" s="47"/>
      <c r="K558" s="48"/>
      <c r="L558" s="49"/>
      <c r="M558" s="49"/>
      <c r="N558" s="50"/>
      <c r="O558" s="43"/>
      <c r="P558" s="43"/>
      <c r="Q558" s="44"/>
      <c r="R558" s="35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43"/>
      <c r="B559" s="40"/>
      <c r="C559" s="44"/>
      <c r="D559" s="45"/>
      <c r="E559" s="44"/>
      <c r="F559" s="43"/>
      <c r="G559" s="43"/>
      <c r="H559" s="43"/>
      <c r="I559" s="46"/>
      <c r="J559" s="47"/>
      <c r="K559" s="48"/>
      <c r="L559" s="49"/>
      <c r="M559" s="49"/>
      <c r="N559" s="50"/>
      <c r="O559" s="43"/>
      <c r="P559" s="43"/>
      <c r="Q559" s="44"/>
      <c r="R559" s="35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43"/>
      <c r="B560" s="40"/>
      <c r="C560" s="44"/>
      <c r="D560" s="45"/>
      <c r="E560" s="44"/>
      <c r="F560" s="43"/>
      <c r="G560" s="43"/>
      <c r="H560" s="43"/>
      <c r="I560" s="46"/>
      <c r="J560" s="47"/>
      <c r="K560" s="48"/>
      <c r="L560" s="49"/>
      <c r="M560" s="49"/>
      <c r="N560" s="50"/>
      <c r="O560" s="43"/>
      <c r="P560" s="43"/>
      <c r="Q560" s="44"/>
      <c r="R560" s="35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43"/>
      <c r="B561" s="40"/>
      <c r="C561" s="44"/>
      <c r="D561" s="45"/>
      <c r="E561" s="44"/>
      <c r="F561" s="43"/>
      <c r="G561" s="43"/>
      <c r="H561" s="43"/>
      <c r="I561" s="46"/>
      <c r="J561" s="47"/>
      <c r="K561" s="48"/>
      <c r="L561" s="49"/>
      <c r="M561" s="49"/>
      <c r="N561" s="50"/>
      <c r="O561" s="43"/>
      <c r="P561" s="43"/>
      <c r="Q561" s="44"/>
      <c r="R561" s="35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43"/>
      <c r="B562" s="40"/>
      <c r="C562" s="44"/>
      <c r="D562" s="45"/>
      <c r="E562" s="44"/>
      <c r="F562" s="43"/>
      <c r="G562" s="43"/>
      <c r="H562" s="43"/>
      <c r="I562" s="46"/>
      <c r="J562" s="47"/>
      <c r="K562" s="48"/>
      <c r="L562" s="49"/>
      <c r="M562" s="49"/>
      <c r="N562" s="50"/>
      <c r="O562" s="43"/>
      <c r="P562" s="43"/>
      <c r="Q562" s="44"/>
      <c r="R562" s="35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43"/>
      <c r="B563" s="40"/>
      <c r="C563" s="44"/>
      <c r="D563" s="45"/>
      <c r="E563" s="44"/>
      <c r="F563" s="43"/>
      <c r="G563" s="43"/>
      <c r="H563" s="43"/>
      <c r="I563" s="46"/>
      <c r="J563" s="47"/>
      <c r="K563" s="48"/>
      <c r="L563" s="49"/>
      <c r="M563" s="49"/>
      <c r="N563" s="50"/>
      <c r="O563" s="43"/>
      <c r="P563" s="43"/>
      <c r="Q563" s="44"/>
      <c r="R563" s="35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43"/>
      <c r="B564" s="40"/>
      <c r="C564" s="44"/>
      <c r="D564" s="45"/>
      <c r="E564" s="44"/>
      <c r="F564" s="43"/>
      <c r="G564" s="43"/>
      <c r="H564" s="43"/>
      <c r="I564" s="46"/>
      <c r="J564" s="47"/>
      <c r="K564" s="48"/>
      <c r="L564" s="49"/>
      <c r="M564" s="49"/>
      <c r="N564" s="50"/>
      <c r="O564" s="43"/>
      <c r="P564" s="43"/>
      <c r="Q564" s="44"/>
      <c r="R564" s="35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43"/>
      <c r="B565" s="40"/>
      <c r="C565" s="44"/>
      <c r="D565" s="45"/>
      <c r="E565" s="44"/>
      <c r="F565" s="43"/>
      <c r="G565" s="43"/>
      <c r="H565" s="43"/>
      <c r="I565" s="46"/>
      <c r="J565" s="47"/>
      <c r="K565" s="48"/>
      <c r="L565" s="49"/>
      <c r="M565" s="49"/>
      <c r="N565" s="50"/>
      <c r="O565" s="43"/>
      <c r="P565" s="43"/>
      <c r="Q565" s="44"/>
      <c r="R565" s="35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43"/>
      <c r="B566" s="40"/>
      <c r="C566" s="44"/>
      <c r="D566" s="45"/>
      <c r="E566" s="44"/>
      <c r="F566" s="43"/>
      <c r="G566" s="43"/>
      <c r="H566" s="43"/>
      <c r="I566" s="46"/>
      <c r="J566" s="47"/>
      <c r="K566" s="48"/>
      <c r="L566" s="49"/>
      <c r="M566" s="49"/>
      <c r="N566" s="50"/>
      <c r="O566" s="43"/>
      <c r="P566" s="43"/>
      <c r="Q566" s="44"/>
      <c r="R566" s="35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43"/>
      <c r="B567" s="40"/>
      <c r="C567" s="44"/>
      <c r="D567" s="45"/>
      <c r="E567" s="44"/>
      <c r="F567" s="43"/>
      <c r="G567" s="43"/>
      <c r="H567" s="43"/>
      <c r="I567" s="46"/>
      <c r="J567" s="47"/>
      <c r="K567" s="48"/>
      <c r="L567" s="49"/>
      <c r="M567" s="49"/>
      <c r="N567" s="50"/>
      <c r="O567" s="43"/>
      <c r="P567" s="43"/>
      <c r="Q567" s="44"/>
      <c r="R567" s="35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43"/>
      <c r="B568" s="40"/>
      <c r="C568" s="44"/>
      <c r="D568" s="45"/>
      <c r="E568" s="44"/>
      <c r="F568" s="43"/>
      <c r="G568" s="43"/>
      <c r="H568" s="43"/>
      <c r="I568" s="46"/>
      <c r="J568" s="47"/>
      <c r="K568" s="48"/>
      <c r="L568" s="49"/>
      <c r="M568" s="49"/>
      <c r="N568" s="50"/>
      <c r="O568" s="43"/>
      <c r="P568" s="43"/>
      <c r="Q568" s="44"/>
      <c r="R568" s="35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43"/>
      <c r="B569" s="40"/>
      <c r="C569" s="44"/>
      <c r="D569" s="45"/>
      <c r="E569" s="44"/>
      <c r="F569" s="43"/>
      <c r="G569" s="43"/>
      <c r="H569" s="43"/>
      <c r="I569" s="46"/>
      <c r="J569" s="47"/>
      <c r="K569" s="48"/>
      <c r="L569" s="49"/>
      <c r="M569" s="49"/>
      <c r="N569" s="50"/>
      <c r="O569" s="43"/>
      <c r="P569" s="43"/>
      <c r="Q569" s="44"/>
      <c r="R569" s="35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43"/>
      <c r="B570" s="40"/>
      <c r="C570" s="44"/>
      <c r="D570" s="45"/>
      <c r="E570" s="44"/>
      <c r="F570" s="43"/>
      <c r="G570" s="43"/>
      <c r="H570" s="43"/>
      <c r="I570" s="46"/>
      <c r="J570" s="47"/>
      <c r="K570" s="48"/>
      <c r="L570" s="49"/>
      <c r="M570" s="49"/>
      <c r="N570" s="50"/>
      <c r="O570" s="43"/>
      <c r="P570" s="43"/>
      <c r="Q570" s="44"/>
      <c r="R570" s="35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43"/>
      <c r="B571" s="40"/>
      <c r="C571" s="44"/>
      <c r="D571" s="45"/>
      <c r="E571" s="44"/>
      <c r="F571" s="43"/>
      <c r="G571" s="43"/>
      <c r="H571" s="43"/>
      <c r="I571" s="46"/>
      <c r="J571" s="47"/>
      <c r="K571" s="48"/>
      <c r="L571" s="49"/>
      <c r="M571" s="49"/>
      <c r="N571" s="50"/>
      <c r="O571" s="43"/>
      <c r="P571" s="43"/>
      <c r="Q571" s="44"/>
      <c r="R571" s="35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43"/>
      <c r="B572" s="40"/>
      <c r="C572" s="44"/>
      <c r="D572" s="45"/>
      <c r="E572" s="44"/>
      <c r="F572" s="43"/>
      <c r="G572" s="43"/>
      <c r="H572" s="43"/>
      <c r="I572" s="46"/>
      <c r="J572" s="47"/>
      <c r="K572" s="48"/>
      <c r="L572" s="49"/>
      <c r="M572" s="49"/>
      <c r="N572" s="50"/>
      <c r="O572" s="43"/>
      <c r="P572" s="43"/>
      <c r="Q572" s="44"/>
      <c r="R572" s="35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43"/>
      <c r="B573" s="40"/>
      <c r="C573" s="44"/>
      <c r="D573" s="45"/>
      <c r="E573" s="44"/>
      <c r="F573" s="43"/>
      <c r="G573" s="43"/>
      <c r="H573" s="43"/>
      <c r="I573" s="46"/>
      <c r="J573" s="47"/>
      <c r="K573" s="48"/>
      <c r="L573" s="49"/>
      <c r="M573" s="49"/>
      <c r="N573" s="50"/>
      <c r="O573" s="43"/>
      <c r="P573" s="43"/>
      <c r="Q573" s="44"/>
      <c r="R573" s="35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43"/>
      <c r="B574" s="40"/>
      <c r="C574" s="44"/>
      <c r="D574" s="45"/>
      <c r="E574" s="44"/>
      <c r="F574" s="43"/>
      <c r="G574" s="43"/>
      <c r="H574" s="43"/>
      <c r="I574" s="46"/>
      <c r="J574" s="47"/>
      <c r="K574" s="48"/>
      <c r="L574" s="49"/>
      <c r="M574" s="49"/>
      <c r="N574" s="50"/>
      <c r="O574" s="43"/>
      <c r="P574" s="43"/>
      <c r="Q574" s="44"/>
      <c r="R574" s="35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43"/>
      <c r="B575" s="40"/>
      <c r="C575" s="44"/>
      <c r="D575" s="45"/>
      <c r="E575" s="44"/>
      <c r="F575" s="43"/>
      <c r="G575" s="43"/>
      <c r="H575" s="43"/>
      <c r="I575" s="46"/>
      <c r="J575" s="47"/>
      <c r="K575" s="48"/>
      <c r="L575" s="49"/>
      <c r="M575" s="49"/>
      <c r="N575" s="50"/>
      <c r="O575" s="43"/>
      <c r="P575" s="43"/>
      <c r="Q575" s="44"/>
      <c r="R575" s="35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43"/>
      <c r="B576" s="40"/>
      <c r="C576" s="44"/>
      <c r="D576" s="45"/>
      <c r="E576" s="44"/>
      <c r="F576" s="43"/>
      <c r="G576" s="43"/>
      <c r="H576" s="43"/>
      <c r="I576" s="46"/>
      <c r="J576" s="47"/>
      <c r="K576" s="48"/>
      <c r="L576" s="49"/>
      <c r="M576" s="49"/>
      <c r="N576" s="50"/>
      <c r="O576" s="43"/>
      <c r="P576" s="43"/>
      <c r="Q576" s="44"/>
      <c r="R576" s="35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43"/>
      <c r="B577" s="40"/>
      <c r="C577" s="44"/>
      <c r="D577" s="45"/>
      <c r="E577" s="44"/>
      <c r="F577" s="43"/>
      <c r="G577" s="43"/>
      <c r="H577" s="43"/>
      <c r="I577" s="46"/>
      <c r="J577" s="47"/>
      <c r="K577" s="48"/>
      <c r="L577" s="49"/>
      <c r="M577" s="49"/>
      <c r="N577" s="50"/>
      <c r="O577" s="43"/>
      <c r="P577" s="43"/>
      <c r="Q577" s="44"/>
      <c r="R577" s="35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43"/>
      <c r="B578" s="40"/>
      <c r="C578" s="44"/>
      <c r="D578" s="45"/>
      <c r="E578" s="44"/>
      <c r="F578" s="43"/>
      <c r="G578" s="43"/>
      <c r="H578" s="43"/>
      <c r="I578" s="46"/>
      <c r="J578" s="47"/>
      <c r="K578" s="48"/>
      <c r="L578" s="49"/>
      <c r="M578" s="49"/>
      <c r="N578" s="50"/>
      <c r="O578" s="43"/>
      <c r="P578" s="43"/>
      <c r="Q578" s="44"/>
      <c r="R578" s="35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43"/>
      <c r="B579" s="40"/>
      <c r="C579" s="44"/>
      <c r="D579" s="45"/>
      <c r="E579" s="44"/>
      <c r="F579" s="43"/>
      <c r="G579" s="43"/>
      <c r="H579" s="43"/>
      <c r="I579" s="46"/>
      <c r="J579" s="47"/>
      <c r="K579" s="48"/>
      <c r="L579" s="49"/>
      <c r="M579" s="49"/>
      <c r="N579" s="50"/>
      <c r="O579" s="43"/>
      <c r="P579" s="43"/>
      <c r="Q579" s="44"/>
      <c r="R579" s="35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43"/>
      <c r="B580" s="40"/>
      <c r="C580" s="44"/>
      <c r="D580" s="45"/>
      <c r="E580" s="44"/>
      <c r="F580" s="43"/>
      <c r="G580" s="43"/>
      <c r="H580" s="43"/>
      <c r="I580" s="46"/>
      <c r="J580" s="47"/>
      <c r="K580" s="48"/>
      <c r="L580" s="49"/>
      <c r="M580" s="49"/>
      <c r="N580" s="50"/>
      <c r="O580" s="43"/>
      <c r="P580" s="43"/>
      <c r="Q580" s="44"/>
      <c r="R580" s="35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43"/>
      <c r="B581" s="40"/>
      <c r="C581" s="44"/>
      <c r="D581" s="45"/>
      <c r="E581" s="44"/>
      <c r="F581" s="43"/>
      <c r="G581" s="43"/>
      <c r="H581" s="43"/>
      <c r="I581" s="46"/>
      <c r="J581" s="47"/>
      <c r="K581" s="48"/>
      <c r="L581" s="49"/>
      <c r="M581" s="49"/>
      <c r="N581" s="50"/>
      <c r="O581" s="43"/>
      <c r="P581" s="43"/>
      <c r="Q581" s="44"/>
      <c r="R581" s="35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43"/>
      <c r="B582" s="40"/>
      <c r="C582" s="44"/>
      <c r="D582" s="45"/>
      <c r="E582" s="44"/>
      <c r="F582" s="43"/>
      <c r="G582" s="43"/>
      <c r="H582" s="43"/>
      <c r="I582" s="46"/>
      <c r="J582" s="47"/>
      <c r="K582" s="48"/>
      <c r="L582" s="49"/>
      <c r="M582" s="49"/>
      <c r="N582" s="50"/>
      <c r="O582" s="43"/>
      <c r="P582" s="43"/>
      <c r="Q582" s="44"/>
      <c r="R582" s="35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43"/>
      <c r="B583" s="40"/>
      <c r="C583" s="44"/>
      <c r="D583" s="45"/>
      <c r="E583" s="44"/>
      <c r="F583" s="43"/>
      <c r="G583" s="43"/>
      <c r="H583" s="43"/>
      <c r="I583" s="46"/>
      <c r="J583" s="47"/>
      <c r="K583" s="48"/>
      <c r="L583" s="49"/>
      <c r="M583" s="49"/>
      <c r="N583" s="50"/>
      <c r="O583" s="43"/>
      <c r="P583" s="43"/>
      <c r="Q583" s="44"/>
      <c r="R583" s="35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43"/>
      <c r="B584" s="40"/>
      <c r="C584" s="44"/>
      <c r="D584" s="45"/>
      <c r="E584" s="44"/>
      <c r="F584" s="43"/>
      <c r="G584" s="43"/>
      <c r="H584" s="43"/>
      <c r="I584" s="46"/>
      <c r="J584" s="47"/>
      <c r="K584" s="48"/>
      <c r="L584" s="49"/>
      <c r="M584" s="49"/>
      <c r="N584" s="50"/>
      <c r="O584" s="43"/>
      <c r="P584" s="43"/>
      <c r="Q584" s="44"/>
      <c r="R584" s="35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43"/>
      <c r="B585" s="40"/>
      <c r="C585" s="44"/>
      <c r="D585" s="45"/>
      <c r="E585" s="44"/>
      <c r="F585" s="43"/>
      <c r="G585" s="43"/>
      <c r="H585" s="43"/>
      <c r="I585" s="46"/>
      <c r="J585" s="47"/>
      <c r="K585" s="48"/>
      <c r="L585" s="49"/>
      <c r="M585" s="49"/>
      <c r="N585" s="50"/>
      <c r="O585" s="43"/>
      <c r="P585" s="43"/>
      <c r="Q585" s="44"/>
      <c r="R585" s="35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43"/>
      <c r="B586" s="40"/>
      <c r="C586" s="44"/>
      <c r="D586" s="45"/>
      <c r="E586" s="44"/>
      <c r="F586" s="43"/>
      <c r="G586" s="43"/>
      <c r="H586" s="43"/>
      <c r="I586" s="46"/>
      <c r="J586" s="47"/>
      <c r="K586" s="48"/>
      <c r="L586" s="49"/>
      <c r="M586" s="49"/>
      <c r="N586" s="50"/>
      <c r="O586" s="43"/>
      <c r="P586" s="43"/>
      <c r="Q586" s="44"/>
      <c r="R586" s="35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43"/>
      <c r="B587" s="40"/>
      <c r="C587" s="44"/>
      <c r="D587" s="45"/>
      <c r="E587" s="44"/>
      <c r="F587" s="43"/>
      <c r="G587" s="43"/>
      <c r="H587" s="43"/>
      <c r="I587" s="46"/>
      <c r="J587" s="47"/>
      <c r="K587" s="48"/>
      <c r="L587" s="49"/>
      <c r="M587" s="49"/>
      <c r="N587" s="50"/>
      <c r="O587" s="43"/>
      <c r="P587" s="43"/>
      <c r="Q587" s="44"/>
      <c r="R587" s="35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43"/>
      <c r="B588" s="40"/>
      <c r="C588" s="44"/>
      <c r="D588" s="45"/>
      <c r="E588" s="44"/>
      <c r="F588" s="43"/>
      <c r="G588" s="43"/>
      <c r="H588" s="43"/>
      <c r="I588" s="46"/>
      <c r="J588" s="47"/>
      <c r="K588" s="48"/>
      <c r="L588" s="49"/>
      <c r="M588" s="49"/>
      <c r="N588" s="50"/>
      <c r="O588" s="43"/>
      <c r="P588" s="43"/>
      <c r="Q588" s="44"/>
      <c r="R588" s="35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43"/>
      <c r="B589" s="40"/>
      <c r="C589" s="44"/>
      <c r="D589" s="45"/>
      <c r="E589" s="44"/>
      <c r="F589" s="43"/>
      <c r="G589" s="43"/>
      <c r="H589" s="43"/>
      <c r="I589" s="46"/>
      <c r="J589" s="47"/>
      <c r="K589" s="48"/>
      <c r="L589" s="49"/>
      <c r="M589" s="49"/>
      <c r="N589" s="50"/>
      <c r="O589" s="43"/>
      <c r="P589" s="43"/>
      <c r="Q589" s="44"/>
      <c r="R589" s="35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43"/>
      <c r="B590" s="40"/>
      <c r="C590" s="44"/>
      <c r="D590" s="45"/>
      <c r="E590" s="44"/>
      <c r="F590" s="43"/>
      <c r="G590" s="43"/>
      <c r="H590" s="43"/>
      <c r="I590" s="46"/>
      <c r="J590" s="47"/>
      <c r="K590" s="48"/>
      <c r="L590" s="49"/>
      <c r="M590" s="49"/>
      <c r="N590" s="50"/>
      <c r="O590" s="43"/>
      <c r="P590" s="43"/>
      <c r="Q590" s="44"/>
      <c r="R590" s="35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43"/>
      <c r="B591" s="40"/>
      <c r="C591" s="44"/>
      <c r="D591" s="45"/>
      <c r="E591" s="44"/>
      <c r="F591" s="43"/>
      <c r="G591" s="43"/>
      <c r="H591" s="43"/>
      <c r="I591" s="46"/>
      <c r="J591" s="47"/>
      <c r="K591" s="48"/>
      <c r="L591" s="49"/>
      <c r="M591" s="49"/>
      <c r="N591" s="50"/>
      <c r="O591" s="43"/>
      <c r="P591" s="43"/>
      <c r="Q591" s="44"/>
      <c r="R591" s="35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43"/>
      <c r="B592" s="40"/>
      <c r="C592" s="44"/>
      <c r="D592" s="45"/>
      <c r="E592" s="44"/>
      <c r="F592" s="43"/>
      <c r="G592" s="43"/>
      <c r="H592" s="43"/>
      <c r="I592" s="46"/>
      <c r="J592" s="47"/>
      <c r="K592" s="48"/>
      <c r="L592" s="49"/>
      <c r="M592" s="49"/>
      <c r="N592" s="50"/>
      <c r="O592" s="43"/>
      <c r="P592" s="43"/>
      <c r="Q592" s="44"/>
      <c r="R592" s="35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43"/>
      <c r="B593" s="40"/>
      <c r="C593" s="44"/>
      <c r="D593" s="45"/>
      <c r="E593" s="44"/>
      <c r="F593" s="43"/>
      <c r="G593" s="43"/>
      <c r="H593" s="43"/>
      <c r="I593" s="46"/>
      <c r="J593" s="47"/>
      <c r="K593" s="48"/>
      <c r="L593" s="49"/>
      <c r="M593" s="49"/>
      <c r="N593" s="50"/>
      <c r="O593" s="43"/>
      <c r="P593" s="43"/>
      <c r="Q593" s="44"/>
      <c r="R593" s="35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43"/>
      <c r="B594" s="40"/>
      <c r="C594" s="44"/>
      <c r="D594" s="45"/>
      <c r="E594" s="44"/>
      <c r="F594" s="43"/>
      <c r="G594" s="43"/>
      <c r="H594" s="43"/>
      <c r="I594" s="46"/>
      <c r="J594" s="47"/>
      <c r="K594" s="48"/>
      <c r="L594" s="49"/>
      <c r="M594" s="49"/>
      <c r="N594" s="50"/>
      <c r="O594" s="43"/>
      <c r="P594" s="43"/>
      <c r="Q594" s="44"/>
      <c r="R594" s="35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43"/>
      <c r="B595" s="40"/>
      <c r="C595" s="44"/>
      <c r="D595" s="45"/>
      <c r="E595" s="44"/>
      <c r="F595" s="43"/>
      <c r="G595" s="43"/>
      <c r="H595" s="43"/>
      <c r="I595" s="46"/>
      <c r="J595" s="47"/>
      <c r="K595" s="48"/>
      <c r="L595" s="49"/>
      <c r="M595" s="49"/>
      <c r="N595" s="50"/>
      <c r="O595" s="43"/>
      <c r="P595" s="43"/>
      <c r="Q595" s="44"/>
      <c r="R595" s="35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43"/>
      <c r="B596" s="40"/>
      <c r="C596" s="44"/>
      <c r="D596" s="45"/>
      <c r="E596" s="44"/>
      <c r="F596" s="43"/>
      <c r="G596" s="43"/>
      <c r="H596" s="43"/>
      <c r="I596" s="46"/>
      <c r="J596" s="47"/>
      <c r="K596" s="48"/>
      <c r="L596" s="49"/>
      <c r="M596" s="49"/>
      <c r="N596" s="50"/>
      <c r="O596" s="43"/>
      <c r="P596" s="43"/>
      <c r="Q596" s="44"/>
      <c r="R596" s="35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43"/>
      <c r="B597" s="40"/>
      <c r="C597" s="44"/>
      <c r="D597" s="45"/>
      <c r="E597" s="44"/>
      <c r="F597" s="43"/>
      <c r="G597" s="43"/>
      <c r="H597" s="43"/>
      <c r="I597" s="46"/>
      <c r="J597" s="47"/>
      <c r="K597" s="48"/>
      <c r="L597" s="49"/>
      <c r="M597" s="49"/>
      <c r="N597" s="50"/>
      <c r="O597" s="43"/>
      <c r="P597" s="43"/>
      <c r="Q597" s="44"/>
      <c r="R597" s="35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43"/>
      <c r="B598" s="40"/>
      <c r="C598" s="44"/>
      <c r="D598" s="45"/>
      <c r="E598" s="44"/>
      <c r="F598" s="43"/>
      <c r="G598" s="43"/>
      <c r="H598" s="43"/>
      <c r="I598" s="46"/>
      <c r="J598" s="47"/>
      <c r="K598" s="48"/>
      <c r="L598" s="49"/>
      <c r="M598" s="49"/>
      <c r="N598" s="50"/>
      <c r="O598" s="43"/>
      <c r="P598" s="43"/>
      <c r="Q598" s="44"/>
      <c r="R598" s="35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43"/>
      <c r="B599" s="40"/>
      <c r="C599" s="44"/>
      <c r="D599" s="45"/>
      <c r="E599" s="44"/>
      <c r="F599" s="43"/>
      <c r="G599" s="43"/>
      <c r="H599" s="43"/>
      <c r="I599" s="46"/>
      <c r="J599" s="47"/>
      <c r="K599" s="48"/>
      <c r="L599" s="49"/>
      <c r="M599" s="49"/>
      <c r="N599" s="50"/>
      <c r="O599" s="43"/>
      <c r="P599" s="43"/>
      <c r="Q599" s="44"/>
      <c r="R599" s="35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43"/>
      <c r="B600" s="40"/>
      <c r="C600" s="44"/>
      <c r="D600" s="45"/>
      <c r="E600" s="44"/>
      <c r="F600" s="43"/>
      <c r="G600" s="43"/>
      <c r="H600" s="43"/>
      <c r="I600" s="46"/>
      <c r="J600" s="47"/>
      <c r="K600" s="48"/>
      <c r="L600" s="49"/>
      <c r="M600" s="49"/>
      <c r="N600" s="50"/>
      <c r="O600" s="43"/>
      <c r="P600" s="43"/>
      <c r="Q600" s="44"/>
      <c r="R600" s="35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43"/>
      <c r="B601" s="40"/>
      <c r="C601" s="44"/>
      <c r="D601" s="45"/>
      <c r="E601" s="44"/>
      <c r="F601" s="43"/>
      <c r="G601" s="43"/>
      <c r="H601" s="43"/>
      <c r="I601" s="46"/>
      <c r="J601" s="47"/>
      <c r="K601" s="48"/>
      <c r="L601" s="49"/>
      <c r="M601" s="49"/>
      <c r="N601" s="50"/>
      <c r="O601" s="43"/>
      <c r="P601" s="43"/>
      <c r="Q601" s="44"/>
      <c r="R601" s="35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43"/>
      <c r="B602" s="40"/>
      <c r="C602" s="44"/>
      <c r="D602" s="45"/>
      <c r="E602" s="44"/>
      <c r="F602" s="43"/>
      <c r="G602" s="43"/>
      <c r="H602" s="43"/>
      <c r="I602" s="46"/>
      <c r="J602" s="47"/>
      <c r="K602" s="48"/>
      <c r="L602" s="49"/>
      <c r="M602" s="49"/>
      <c r="N602" s="50"/>
      <c r="O602" s="43"/>
      <c r="P602" s="43"/>
      <c r="Q602" s="44"/>
      <c r="R602" s="35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43"/>
      <c r="B603" s="40"/>
      <c r="C603" s="44"/>
      <c r="D603" s="45"/>
      <c r="E603" s="44"/>
      <c r="F603" s="43"/>
      <c r="G603" s="43"/>
      <c r="H603" s="43"/>
      <c r="I603" s="46"/>
      <c r="J603" s="47"/>
      <c r="K603" s="48"/>
      <c r="L603" s="49"/>
      <c r="M603" s="49"/>
      <c r="N603" s="50"/>
      <c r="O603" s="43"/>
      <c r="P603" s="43"/>
      <c r="Q603" s="44"/>
      <c r="R603" s="35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43"/>
      <c r="B604" s="40"/>
      <c r="C604" s="44"/>
      <c r="D604" s="45"/>
      <c r="E604" s="44"/>
      <c r="F604" s="43"/>
      <c r="G604" s="43"/>
      <c r="H604" s="43"/>
      <c r="I604" s="46"/>
      <c r="J604" s="47"/>
      <c r="K604" s="48"/>
      <c r="L604" s="49"/>
      <c r="M604" s="49"/>
      <c r="N604" s="50"/>
      <c r="O604" s="43"/>
      <c r="P604" s="43"/>
      <c r="Q604" s="44"/>
      <c r="R604" s="35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43"/>
      <c r="B605" s="40"/>
      <c r="C605" s="44"/>
      <c r="D605" s="45"/>
      <c r="E605" s="44"/>
      <c r="F605" s="43"/>
      <c r="G605" s="43"/>
      <c r="H605" s="43"/>
      <c r="I605" s="46"/>
      <c r="J605" s="47"/>
      <c r="K605" s="48"/>
      <c r="L605" s="49"/>
      <c r="M605" s="49"/>
      <c r="N605" s="50"/>
      <c r="O605" s="43"/>
      <c r="P605" s="43"/>
      <c r="Q605" s="44"/>
      <c r="R605" s="35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43"/>
      <c r="B606" s="40"/>
      <c r="C606" s="44"/>
      <c r="D606" s="45"/>
      <c r="E606" s="44"/>
      <c r="F606" s="43"/>
      <c r="G606" s="43"/>
      <c r="H606" s="43"/>
      <c r="I606" s="46"/>
      <c r="J606" s="47"/>
      <c r="K606" s="48"/>
      <c r="L606" s="49"/>
      <c r="M606" s="49"/>
      <c r="N606" s="50"/>
      <c r="O606" s="43"/>
      <c r="P606" s="43"/>
      <c r="Q606" s="44"/>
      <c r="R606" s="35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43"/>
      <c r="B607" s="40"/>
      <c r="C607" s="44"/>
      <c r="D607" s="45"/>
      <c r="E607" s="44"/>
      <c r="F607" s="43"/>
      <c r="G607" s="43"/>
      <c r="H607" s="43"/>
      <c r="I607" s="46"/>
      <c r="J607" s="47"/>
      <c r="K607" s="48"/>
      <c r="L607" s="49"/>
      <c r="M607" s="49"/>
      <c r="N607" s="50"/>
      <c r="O607" s="43"/>
      <c r="P607" s="43"/>
      <c r="Q607" s="44"/>
      <c r="R607" s="35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43"/>
      <c r="B608" s="40"/>
      <c r="C608" s="44"/>
      <c r="D608" s="45"/>
      <c r="E608" s="44"/>
      <c r="F608" s="43"/>
      <c r="G608" s="43"/>
      <c r="H608" s="43"/>
      <c r="I608" s="46"/>
      <c r="J608" s="47"/>
      <c r="K608" s="48"/>
      <c r="L608" s="49"/>
      <c r="M608" s="49"/>
      <c r="N608" s="50"/>
      <c r="O608" s="43"/>
      <c r="P608" s="43"/>
      <c r="Q608" s="44"/>
      <c r="R608" s="35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43"/>
      <c r="B609" s="40"/>
      <c r="C609" s="44"/>
      <c r="D609" s="45"/>
      <c r="E609" s="44"/>
      <c r="F609" s="43"/>
      <c r="G609" s="43"/>
      <c r="H609" s="43"/>
      <c r="I609" s="46"/>
      <c r="J609" s="47"/>
      <c r="K609" s="48"/>
      <c r="L609" s="49"/>
      <c r="M609" s="49"/>
      <c r="N609" s="50"/>
      <c r="O609" s="43"/>
      <c r="P609" s="43"/>
      <c r="Q609" s="44"/>
      <c r="R609" s="35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43"/>
      <c r="B610" s="40"/>
      <c r="C610" s="44"/>
      <c r="D610" s="45"/>
      <c r="E610" s="44"/>
      <c r="F610" s="43"/>
      <c r="G610" s="43"/>
      <c r="H610" s="43"/>
      <c r="I610" s="46"/>
      <c r="J610" s="47"/>
      <c r="K610" s="48"/>
      <c r="L610" s="49"/>
      <c r="M610" s="49"/>
      <c r="N610" s="50"/>
      <c r="O610" s="43"/>
      <c r="P610" s="43"/>
      <c r="Q610" s="44"/>
      <c r="R610" s="35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43"/>
      <c r="B611" s="40"/>
      <c r="C611" s="44"/>
      <c r="D611" s="45"/>
      <c r="E611" s="44"/>
      <c r="F611" s="43"/>
      <c r="G611" s="43"/>
      <c r="H611" s="43"/>
      <c r="I611" s="46"/>
      <c r="J611" s="47"/>
      <c r="K611" s="48"/>
      <c r="L611" s="49"/>
      <c r="M611" s="49"/>
      <c r="N611" s="50"/>
      <c r="O611" s="43"/>
      <c r="P611" s="43"/>
      <c r="Q611" s="44"/>
      <c r="R611" s="35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43"/>
      <c r="B612" s="40"/>
      <c r="C612" s="44"/>
      <c r="D612" s="45"/>
      <c r="E612" s="44"/>
      <c r="F612" s="43"/>
      <c r="G612" s="43"/>
      <c r="H612" s="43"/>
      <c r="I612" s="46"/>
      <c r="J612" s="47"/>
      <c r="K612" s="48"/>
      <c r="L612" s="49"/>
      <c r="M612" s="49"/>
      <c r="N612" s="50"/>
      <c r="O612" s="43"/>
      <c r="P612" s="43"/>
      <c r="Q612" s="44"/>
      <c r="R612" s="35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43"/>
      <c r="B613" s="40"/>
      <c r="C613" s="44"/>
      <c r="D613" s="45"/>
      <c r="E613" s="44"/>
      <c r="F613" s="43"/>
      <c r="G613" s="43"/>
      <c r="H613" s="43"/>
      <c r="I613" s="46"/>
      <c r="J613" s="47"/>
      <c r="K613" s="48"/>
      <c r="L613" s="49"/>
      <c r="M613" s="49"/>
      <c r="N613" s="50"/>
      <c r="O613" s="43"/>
      <c r="P613" s="43"/>
      <c r="Q613" s="44"/>
      <c r="R613" s="35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43"/>
      <c r="B614" s="40"/>
      <c r="C614" s="44"/>
      <c r="D614" s="45"/>
      <c r="E614" s="44"/>
      <c r="F614" s="43"/>
      <c r="G614" s="43"/>
      <c r="H614" s="43"/>
      <c r="I614" s="46"/>
      <c r="J614" s="47"/>
      <c r="K614" s="48"/>
      <c r="L614" s="49"/>
      <c r="M614" s="49"/>
      <c r="N614" s="50"/>
      <c r="O614" s="43"/>
      <c r="P614" s="43"/>
      <c r="Q614" s="44"/>
      <c r="R614" s="35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43"/>
      <c r="B615" s="40"/>
      <c r="C615" s="44"/>
      <c r="D615" s="45"/>
      <c r="E615" s="44"/>
      <c r="F615" s="43"/>
      <c r="G615" s="43"/>
      <c r="H615" s="43"/>
      <c r="I615" s="46"/>
      <c r="J615" s="47"/>
      <c r="K615" s="48"/>
      <c r="L615" s="49"/>
      <c r="M615" s="49"/>
      <c r="N615" s="50"/>
      <c r="O615" s="43"/>
      <c r="P615" s="43"/>
      <c r="Q615" s="44"/>
      <c r="R615" s="35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43"/>
      <c r="B616" s="40"/>
      <c r="C616" s="44"/>
      <c r="D616" s="45"/>
      <c r="E616" s="44"/>
      <c r="F616" s="43"/>
      <c r="G616" s="43"/>
      <c r="H616" s="43"/>
      <c r="I616" s="46"/>
      <c r="J616" s="47"/>
      <c r="K616" s="48"/>
      <c r="L616" s="49"/>
      <c r="M616" s="49"/>
      <c r="N616" s="50"/>
      <c r="O616" s="43"/>
      <c r="P616" s="43"/>
      <c r="Q616" s="44"/>
      <c r="R616" s="35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43"/>
      <c r="B617" s="40"/>
      <c r="C617" s="44"/>
      <c r="D617" s="45"/>
      <c r="E617" s="44"/>
      <c r="F617" s="43"/>
      <c r="G617" s="43"/>
      <c r="H617" s="43"/>
      <c r="I617" s="46"/>
      <c r="J617" s="47"/>
      <c r="K617" s="48"/>
      <c r="L617" s="49"/>
      <c r="M617" s="49"/>
      <c r="N617" s="50"/>
      <c r="O617" s="43"/>
      <c r="P617" s="43"/>
      <c r="Q617" s="44"/>
      <c r="R617" s="35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43"/>
      <c r="B618" s="40"/>
      <c r="C618" s="44"/>
      <c r="D618" s="45"/>
      <c r="E618" s="44"/>
      <c r="F618" s="43"/>
      <c r="G618" s="43"/>
      <c r="H618" s="43"/>
      <c r="I618" s="46"/>
      <c r="J618" s="47"/>
      <c r="K618" s="48"/>
      <c r="L618" s="49"/>
      <c r="M618" s="49"/>
      <c r="N618" s="50"/>
      <c r="O618" s="43"/>
      <c r="P618" s="43"/>
      <c r="Q618" s="44"/>
      <c r="R618" s="35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43"/>
      <c r="B619" s="40"/>
      <c r="C619" s="44"/>
      <c r="D619" s="45"/>
      <c r="E619" s="44"/>
      <c r="F619" s="43"/>
      <c r="G619" s="43"/>
      <c r="H619" s="43"/>
      <c r="I619" s="46"/>
      <c r="J619" s="47"/>
      <c r="K619" s="48"/>
      <c r="L619" s="49"/>
      <c r="M619" s="49"/>
      <c r="N619" s="50"/>
      <c r="O619" s="43"/>
      <c r="P619" s="43"/>
      <c r="Q619" s="44"/>
      <c r="R619" s="35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43"/>
      <c r="B620" s="40"/>
      <c r="C620" s="44"/>
      <c r="D620" s="45"/>
      <c r="E620" s="44"/>
      <c r="F620" s="43"/>
      <c r="G620" s="43"/>
      <c r="H620" s="43"/>
      <c r="I620" s="46"/>
      <c r="J620" s="47"/>
      <c r="K620" s="48"/>
      <c r="L620" s="49"/>
      <c r="M620" s="49"/>
      <c r="N620" s="50"/>
      <c r="O620" s="43"/>
      <c r="P620" s="43"/>
      <c r="Q620" s="44"/>
      <c r="R620" s="35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43"/>
      <c r="B621" s="40"/>
      <c r="C621" s="44"/>
      <c r="D621" s="45"/>
      <c r="E621" s="44"/>
      <c r="F621" s="43"/>
      <c r="G621" s="43"/>
      <c r="H621" s="43"/>
      <c r="I621" s="46"/>
      <c r="J621" s="47"/>
      <c r="K621" s="48"/>
      <c r="L621" s="49"/>
      <c r="M621" s="49"/>
      <c r="N621" s="50"/>
      <c r="O621" s="43"/>
      <c r="P621" s="43"/>
      <c r="Q621" s="44"/>
      <c r="R621" s="35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43"/>
      <c r="B622" s="40"/>
      <c r="C622" s="44"/>
      <c r="D622" s="45"/>
      <c r="E622" s="44"/>
      <c r="F622" s="43"/>
      <c r="G622" s="43"/>
      <c r="H622" s="43"/>
      <c r="I622" s="46"/>
      <c r="J622" s="47"/>
      <c r="K622" s="48"/>
      <c r="L622" s="49"/>
      <c r="M622" s="49"/>
      <c r="N622" s="50"/>
      <c r="O622" s="43"/>
      <c r="P622" s="43"/>
      <c r="Q622" s="44"/>
      <c r="R622" s="35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43"/>
      <c r="B623" s="40"/>
      <c r="C623" s="44"/>
      <c r="D623" s="45"/>
      <c r="E623" s="44"/>
      <c r="F623" s="43"/>
      <c r="G623" s="43"/>
      <c r="H623" s="43"/>
      <c r="I623" s="46"/>
      <c r="J623" s="47"/>
      <c r="K623" s="48"/>
      <c r="L623" s="49"/>
      <c r="M623" s="49"/>
      <c r="N623" s="50"/>
      <c r="O623" s="43"/>
      <c r="P623" s="43"/>
      <c r="Q623" s="44"/>
      <c r="R623" s="35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43"/>
      <c r="B624" s="40"/>
      <c r="C624" s="44"/>
      <c r="D624" s="45"/>
      <c r="E624" s="44"/>
      <c r="F624" s="43"/>
      <c r="G624" s="43"/>
      <c r="H624" s="43"/>
      <c r="I624" s="46"/>
      <c r="J624" s="47"/>
      <c r="K624" s="48"/>
      <c r="L624" s="49"/>
      <c r="M624" s="49"/>
      <c r="N624" s="50"/>
      <c r="O624" s="43"/>
      <c r="P624" s="43"/>
      <c r="Q624" s="44"/>
      <c r="R624" s="35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43"/>
      <c r="B625" s="40"/>
      <c r="C625" s="44"/>
      <c r="D625" s="45"/>
      <c r="E625" s="44"/>
      <c r="F625" s="43"/>
      <c r="G625" s="43"/>
      <c r="H625" s="43"/>
      <c r="I625" s="46"/>
      <c r="J625" s="47"/>
      <c r="K625" s="48"/>
      <c r="L625" s="49"/>
      <c r="M625" s="49"/>
      <c r="N625" s="50"/>
      <c r="O625" s="43"/>
      <c r="P625" s="43"/>
      <c r="Q625" s="44"/>
      <c r="R625" s="35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43"/>
      <c r="B626" s="40"/>
      <c r="C626" s="44"/>
      <c r="D626" s="45"/>
      <c r="E626" s="44"/>
      <c r="F626" s="43"/>
      <c r="G626" s="43"/>
      <c r="H626" s="43"/>
      <c r="I626" s="46"/>
      <c r="J626" s="47"/>
      <c r="K626" s="48"/>
      <c r="L626" s="49"/>
      <c r="M626" s="49"/>
      <c r="N626" s="50"/>
      <c r="O626" s="43"/>
      <c r="P626" s="43"/>
      <c r="Q626" s="44"/>
      <c r="R626" s="35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43"/>
      <c r="B627" s="40"/>
      <c r="C627" s="44"/>
      <c r="D627" s="45"/>
      <c r="E627" s="44"/>
      <c r="F627" s="43"/>
      <c r="G627" s="43"/>
      <c r="H627" s="43"/>
      <c r="I627" s="46"/>
      <c r="J627" s="47"/>
      <c r="K627" s="48"/>
      <c r="L627" s="49"/>
      <c r="M627" s="49"/>
      <c r="N627" s="50"/>
      <c r="O627" s="43"/>
      <c r="P627" s="43"/>
      <c r="Q627" s="44"/>
      <c r="R627" s="35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43"/>
      <c r="B628" s="40"/>
      <c r="C628" s="44"/>
      <c r="D628" s="45"/>
      <c r="E628" s="44"/>
      <c r="F628" s="43"/>
      <c r="G628" s="43"/>
      <c r="H628" s="43"/>
      <c r="I628" s="46"/>
      <c r="J628" s="47"/>
      <c r="K628" s="48"/>
      <c r="L628" s="49"/>
      <c r="M628" s="49"/>
      <c r="N628" s="50"/>
      <c r="O628" s="43"/>
      <c r="P628" s="43"/>
      <c r="Q628" s="44"/>
      <c r="R628" s="35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43"/>
      <c r="B629" s="40"/>
      <c r="C629" s="44"/>
      <c r="D629" s="45"/>
      <c r="E629" s="44"/>
      <c r="F629" s="43"/>
      <c r="G629" s="43"/>
      <c r="H629" s="43"/>
      <c r="I629" s="46"/>
      <c r="J629" s="47"/>
      <c r="K629" s="48"/>
      <c r="L629" s="49"/>
      <c r="M629" s="49"/>
      <c r="N629" s="50"/>
      <c r="O629" s="43"/>
      <c r="P629" s="43"/>
      <c r="Q629" s="44"/>
      <c r="R629" s="35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43"/>
      <c r="B630" s="40"/>
      <c r="C630" s="44"/>
      <c r="D630" s="45"/>
      <c r="E630" s="44"/>
      <c r="F630" s="43"/>
      <c r="G630" s="43"/>
      <c r="H630" s="43"/>
      <c r="I630" s="46"/>
      <c r="J630" s="47"/>
      <c r="K630" s="48"/>
      <c r="L630" s="49"/>
      <c r="M630" s="49"/>
      <c r="N630" s="50"/>
      <c r="O630" s="43"/>
      <c r="P630" s="43"/>
      <c r="Q630" s="44"/>
      <c r="R630" s="35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43"/>
      <c r="B631" s="40"/>
      <c r="C631" s="44"/>
      <c r="D631" s="45"/>
      <c r="E631" s="44"/>
      <c r="F631" s="43"/>
      <c r="G631" s="43"/>
      <c r="H631" s="43"/>
      <c r="I631" s="46"/>
      <c r="J631" s="47"/>
      <c r="K631" s="48"/>
      <c r="L631" s="49"/>
      <c r="M631" s="49"/>
      <c r="N631" s="50"/>
      <c r="O631" s="43"/>
      <c r="P631" s="43"/>
      <c r="Q631" s="44"/>
      <c r="R631" s="35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43"/>
      <c r="B632" s="40"/>
      <c r="C632" s="44"/>
      <c r="D632" s="45"/>
      <c r="E632" s="44"/>
      <c r="F632" s="43"/>
      <c r="G632" s="43"/>
      <c r="H632" s="43"/>
      <c r="I632" s="46"/>
      <c r="J632" s="47"/>
      <c r="K632" s="48"/>
      <c r="L632" s="49"/>
      <c r="M632" s="49"/>
      <c r="N632" s="50"/>
      <c r="O632" s="43"/>
      <c r="P632" s="43"/>
      <c r="Q632" s="44"/>
      <c r="R632" s="35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43"/>
      <c r="B633" s="40"/>
      <c r="C633" s="44"/>
      <c r="D633" s="45"/>
      <c r="E633" s="44"/>
      <c r="F633" s="43"/>
      <c r="G633" s="43"/>
      <c r="H633" s="43"/>
      <c r="I633" s="46"/>
      <c r="J633" s="47"/>
      <c r="K633" s="48"/>
      <c r="L633" s="49"/>
      <c r="M633" s="49"/>
      <c r="N633" s="50"/>
      <c r="O633" s="43"/>
      <c r="P633" s="43"/>
      <c r="Q633" s="44"/>
      <c r="R633" s="35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43"/>
      <c r="B634" s="40"/>
      <c r="C634" s="44"/>
      <c r="D634" s="45"/>
      <c r="E634" s="44"/>
      <c r="F634" s="43"/>
      <c r="G634" s="43"/>
      <c r="H634" s="43"/>
      <c r="I634" s="46"/>
      <c r="J634" s="47"/>
      <c r="K634" s="48"/>
      <c r="L634" s="49"/>
      <c r="M634" s="49"/>
      <c r="N634" s="50"/>
      <c r="O634" s="43"/>
      <c r="P634" s="43"/>
      <c r="Q634" s="44"/>
      <c r="R634" s="35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43"/>
      <c r="B635" s="40"/>
      <c r="C635" s="44"/>
      <c r="D635" s="45"/>
      <c r="E635" s="44"/>
      <c r="F635" s="43"/>
      <c r="G635" s="43"/>
      <c r="H635" s="43"/>
      <c r="I635" s="46"/>
      <c r="J635" s="47"/>
      <c r="K635" s="48"/>
      <c r="L635" s="49"/>
      <c r="M635" s="49"/>
      <c r="N635" s="50"/>
      <c r="O635" s="43"/>
      <c r="P635" s="43"/>
      <c r="Q635" s="44"/>
      <c r="R635" s="35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43"/>
      <c r="B636" s="40"/>
      <c r="C636" s="44"/>
      <c r="D636" s="45"/>
      <c r="E636" s="44"/>
      <c r="F636" s="43"/>
      <c r="G636" s="43"/>
      <c r="H636" s="43"/>
      <c r="I636" s="46"/>
      <c r="J636" s="47"/>
      <c r="K636" s="48"/>
      <c r="L636" s="49"/>
      <c r="M636" s="49"/>
      <c r="N636" s="50"/>
      <c r="O636" s="43"/>
      <c r="P636" s="43"/>
      <c r="Q636" s="44"/>
      <c r="R636" s="35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43"/>
      <c r="B637" s="40"/>
      <c r="C637" s="44"/>
      <c r="D637" s="45"/>
      <c r="E637" s="44"/>
      <c r="F637" s="43"/>
      <c r="G637" s="43"/>
      <c r="H637" s="43"/>
      <c r="I637" s="46"/>
      <c r="J637" s="47"/>
      <c r="K637" s="48"/>
      <c r="L637" s="49"/>
      <c r="M637" s="49"/>
      <c r="N637" s="50"/>
      <c r="O637" s="43"/>
      <c r="P637" s="43"/>
      <c r="Q637" s="44"/>
      <c r="R637" s="35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43"/>
      <c r="B638" s="40"/>
      <c r="C638" s="44"/>
      <c r="D638" s="45"/>
      <c r="E638" s="44"/>
      <c r="F638" s="43"/>
      <c r="G638" s="43"/>
      <c r="H638" s="43"/>
      <c r="I638" s="46"/>
      <c r="J638" s="47"/>
      <c r="K638" s="48"/>
      <c r="L638" s="49"/>
      <c r="M638" s="49"/>
      <c r="N638" s="50"/>
      <c r="O638" s="43"/>
      <c r="P638" s="43"/>
      <c r="Q638" s="44"/>
      <c r="R638" s="35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43"/>
      <c r="B639" s="40"/>
      <c r="C639" s="44"/>
      <c r="D639" s="45"/>
      <c r="E639" s="44"/>
      <c r="F639" s="43"/>
      <c r="G639" s="43"/>
      <c r="H639" s="43"/>
      <c r="I639" s="46"/>
      <c r="J639" s="47"/>
      <c r="K639" s="48"/>
      <c r="L639" s="49"/>
      <c r="M639" s="49"/>
      <c r="N639" s="50"/>
      <c r="O639" s="43"/>
      <c r="P639" s="43"/>
      <c r="Q639" s="44"/>
      <c r="R639" s="35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43"/>
      <c r="B640" s="40"/>
      <c r="C640" s="44"/>
      <c r="D640" s="45"/>
      <c r="E640" s="44"/>
      <c r="F640" s="43"/>
      <c r="G640" s="43"/>
      <c r="H640" s="43"/>
      <c r="I640" s="46"/>
      <c r="J640" s="47"/>
      <c r="K640" s="48"/>
      <c r="L640" s="49"/>
      <c r="M640" s="49"/>
      <c r="N640" s="50"/>
      <c r="O640" s="43"/>
      <c r="P640" s="43"/>
      <c r="Q640" s="44"/>
      <c r="R640" s="35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43"/>
      <c r="B641" s="40"/>
      <c r="C641" s="44"/>
      <c r="D641" s="45"/>
      <c r="E641" s="44"/>
      <c r="F641" s="43"/>
      <c r="G641" s="43"/>
      <c r="H641" s="43"/>
      <c r="I641" s="46"/>
      <c r="J641" s="47"/>
      <c r="K641" s="48"/>
      <c r="L641" s="49"/>
      <c r="M641" s="49"/>
      <c r="N641" s="50"/>
      <c r="O641" s="43"/>
      <c r="P641" s="43"/>
      <c r="Q641" s="44"/>
      <c r="R641" s="35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43"/>
      <c r="B642" s="40"/>
      <c r="C642" s="44"/>
      <c r="D642" s="45"/>
      <c r="E642" s="44"/>
      <c r="F642" s="43"/>
      <c r="G642" s="43"/>
      <c r="H642" s="43"/>
      <c r="I642" s="46"/>
      <c r="J642" s="47"/>
      <c r="K642" s="48"/>
      <c r="L642" s="49"/>
      <c r="M642" s="49"/>
      <c r="N642" s="50"/>
      <c r="O642" s="43"/>
      <c r="P642" s="43"/>
      <c r="Q642" s="44"/>
      <c r="R642" s="35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43"/>
      <c r="B643" s="40"/>
      <c r="C643" s="44"/>
      <c r="D643" s="45"/>
      <c r="E643" s="44"/>
      <c r="F643" s="43"/>
      <c r="G643" s="43"/>
      <c r="H643" s="43"/>
      <c r="I643" s="46"/>
      <c r="J643" s="47"/>
      <c r="K643" s="48"/>
      <c r="L643" s="49"/>
      <c r="M643" s="49"/>
      <c r="N643" s="50"/>
      <c r="O643" s="43"/>
      <c r="P643" s="43"/>
      <c r="Q643" s="44"/>
      <c r="R643" s="35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43"/>
      <c r="B644" s="40"/>
      <c r="C644" s="44"/>
      <c r="D644" s="45"/>
      <c r="E644" s="44"/>
      <c r="F644" s="43"/>
      <c r="G644" s="43"/>
      <c r="H644" s="43"/>
      <c r="I644" s="46"/>
      <c r="J644" s="47"/>
      <c r="K644" s="48"/>
      <c r="L644" s="49"/>
      <c r="M644" s="49"/>
      <c r="N644" s="50"/>
      <c r="O644" s="43"/>
      <c r="P644" s="43"/>
      <c r="Q644" s="44"/>
      <c r="R644" s="35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43"/>
      <c r="B645" s="40"/>
      <c r="C645" s="44"/>
      <c r="D645" s="45"/>
      <c r="E645" s="44"/>
      <c r="F645" s="43"/>
      <c r="G645" s="43"/>
      <c r="H645" s="43"/>
      <c r="I645" s="46"/>
      <c r="J645" s="47"/>
      <c r="K645" s="48"/>
      <c r="L645" s="49"/>
      <c r="M645" s="49"/>
      <c r="N645" s="50"/>
      <c r="O645" s="43"/>
      <c r="P645" s="43"/>
      <c r="Q645" s="44"/>
      <c r="R645" s="35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43"/>
      <c r="B646" s="40"/>
      <c r="C646" s="44"/>
      <c r="D646" s="45"/>
      <c r="E646" s="44"/>
      <c r="F646" s="43"/>
      <c r="G646" s="43"/>
      <c r="H646" s="43"/>
      <c r="I646" s="46"/>
      <c r="J646" s="47"/>
      <c r="K646" s="48"/>
      <c r="L646" s="49"/>
      <c r="M646" s="49"/>
      <c r="N646" s="50"/>
      <c r="O646" s="43"/>
      <c r="P646" s="43"/>
      <c r="Q646" s="44"/>
      <c r="R646" s="35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43"/>
      <c r="B647" s="40"/>
      <c r="C647" s="44"/>
      <c r="D647" s="45"/>
      <c r="E647" s="44"/>
      <c r="F647" s="43"/>
      <c r="G647" s="43"/>
      <c r="H647" s="43"/>
      <c r="I647" s="46"/>
      <c r="J647" s="47"/>
      <c r="K647" s="48"/>
      <c r="L647" s="49"/>
      <c r="M647" s="49"/>
      <c r="N647" s="50"/>
      <c r="O647" s="43"/>
      <c r="P647" s="43"/>
      <c r="Q647" s="44"/>
      <c r="R647" s="35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43"/>
      <c r="B648" s="40"/>
      <c r="C648" s="44"/>
      <c r="D648" s="45"/>
      <c r="E648" s="44"/>
      <c r="F648" s="43"/>
      <c r="G648" s="43"/>
      <c r="H648" s="43"/>
      <c r="I648" s="46"/>
      <c r="J648" s="47"/>
      <c r="K648" s="48"/>
      <c r="L648" s="49"/>
      <c r="M648" s="49"/>
      <c r="N648" s="50"/>
      <c r="O648" s="43"/>
      <c r="P648" s="43"/>
      <c r="Q648" s="44"/>
      <c r="R648" s="35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43"/>
      <c r="B649" s="40"/>
      <c r="C649" s="44"/>
      <c r="D649" s="45"/>
      <c r="E649" s="44"/>
      <c r="F649" s="43"/>
      <c r="G649" s="43"/>
      <c r="H649" s="43"/>
      <c r="I649" s="46"/>
      <c r="J649" s="47"/>
      <c r="K649" s="48"/>
      <c r="L649" s="49"/>
      <c r="M649" s="49"/>
      <c r="N649" s="50"/>
      <c r="O649" s="43"/>
      <c r="P649" s="43"/>
      <c r="Q649" s="44"/>
      <c r="R649" s="35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43"/>
      <c r="B650" s="40"/>
      <c r="C650" s="44"/>
      <c r="D650" s="45"/>
      <c r="E650" s="44"/>
      <c r="F650" s="43"/>
      <c r="G650" s="43"/>
      <c r="H650" s="43"/>
      <c r="I650" s="46"/>
      <c r="J650" s="47"/>
      <c r="K650" s="48"/>
      <c r="L650" s="49"/>
      <c r="M650" s="49"/>
      <c r="N650" s="50"/>
      <c r="O650" s="43"/>
      <c r="P650" s="43"/>
      <c r="Q650" s="44"/>
      <c r="R650" s="35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43"/>
      <c r="B651" s="40"/>
      <c r="C651" s="44"/>
      <c r="D651" s="45"/>
      <c r="E651" s="44"/>
      <c r="F651" s="43"/>
      <c r="G651" s="43"/>
      <c r="H651" s="43"/>
      <c r="I651" s="46"/>
      <c r="J651" s="47"/>
      <c r="K651" s="48"/>
      <c r="L651" s="49"/>
      <c r="M651" s="49"/>
      <c r="N651" s="50"/>
      <c r="O651" s="43"/>
      <c r="P651" s="43"/>
      <c r="Q651" s="44"/>
      <c r="R651" s="35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43"/>
      <c r="B652" s="40"/>
      <c r="C652" s="44"/>
      <c r="D652" s="45"/>
      <c r="E652" s="44"/>
      <c r="F652" s="43"/>
      <c r="G652" s="43"/>
      <c r="H652" s="43"/>
      <c r="I652" s="46"/>
      <c r="J652" s="47"/>
      <c r="K652" s="48"/>
      <c r="L652" s="49"/>
      <c r="M652" s="49"/>
      <c r="N652" s="50"/>
      <c r="O652" s="43"/>
      <c r="P652" s="43"/>
      <c r="Q652" s="44"/>
      <c r="R652" s="35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43"/>
      <c r="B653" s="40"/>
      <c r="C653" s="44"/>
      <c r="D653" s="45"/>
      <c r="E653" s="44"/>
      <c r="F653" s="43"/>
      <c r="G653" s="43"/>
      <c r="H653" s="43"/>
      <c r="I653" s="46"/>
      <c r="J653" s="47"/>
      <c r="K653" s="48"/>
      <c r="L653" s="49"/>
      <c r="M653" s="49"/>
      <c r="N653" s="50"/>
      <c r="O653" s="43"/>
      <c r="P653" s="43"/>
      <c r="Q653" s="44"/>
      <c r="R653" s="35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43"/>
      <c r="B654" s="40"/>
      <c r="C654" s="44"/>
      <c r="D654" s="45"/>
      <c r="E654" s="44"/>
      <c r="F654" s="43"/>
      <c r="G654" s="43"/>
      <c r="H654" s="43"/>
      <c r="I654" s="46"/>
      <c r="J654" s="47"/>
      <c r="K654" s="48"/>
      <c r="L654" s="49"/>
      <c r="M654" s="49"/>
      <c r="N654" s="50"/>
      <c r="O654" s="43"/>
      <c r="P654" s="43"/>
      <c r="Q654" s="44"/>
      <c r="R654" s="35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43"/>
      <c r="B655" s="40"/>
      <c r="C655" s="44"/>
      <c r="D655" s="45"/>
      <c r="E655" s="44"/>
      <c r="F655" s="43"/>
      <c r="G655" s="43"/>
      <c r="H655" s="43"/>
      <c r="I655" s="46"/>
      <c r="J655" s="47"/>
      <c r="K655" s="48"/>
      <c r="L655" s="49"/>
      <c r="M655" s="49"/>
      <c r="N655" s="50"/>
      <c r="O655" s="43"/>
      <c r="P655" s="43"/>
      <c r="Q655" s="44"/>
      <c r="R655" s="35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43"/>
      <c r="B656" s="40"/>
      <c r="C656" s="44"/>
      <c r="D656" s="45"/>
      <c r="E656" s="44"/>
      <c r="F656" s="43"/>
      <c r="G656" s="43"/>
      <c r="H656" s="43"/>
      <c r="I656" s="46"/>
      <c r="J656" s="47"/>
      <c r="K656" s="48"/>
      <c r="L656" s="49"/>
      <c r="M656" s="49"/>
      <c r="N656" s="50"/>
      <c r="O656" s="43"/>
      <c r="P656" s="43"/>
      <c r="Q656" s="44"/>
      <c r="R656" s="35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43"/>
      <c r="B657" s="40"/>
      <c r="C657" s="44"/>
      <c r="D657" s="45"/>
      <c r="E657" s="44"/>
      <c r="F657" s="43"/>
      <c r="G657" s="43"/>
      <c r="H657" s="43"/>
      <c r="I657" s="46"/>
      <c r="J657" s="47"/>
      <c r="K657" s="48"/>
      <c r="L657" s="49"/>
      <c r="M657" s="49"/>
      <c r="N657" s="50"/>
      <c r="O657" s="43"/>
      <c r="P657" s="43"/>
      <c r="Q657" s="44"/>
      <c r="R657" s="35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43"/>
      <c r="B658" s="40"/>
      <c r="C658" s="44"/>
      <c r="D658" s="45"/>
      <c r="E658" s="44"/>
      <c r="F658" s="43"/>
      <c r="G658" s="43"/>
      <c r="H658" s="43"/>
      <c r="I658" s="46"/>
      <c r="J658" s="47"/>
      <c r="K658" s="48"/>
      <c r="L658" s="49"/>
      <c r="M658" s="49"/>
      <c r="N658" s="50"/>
      <c r="O658" s="43"/>
      <c r="P658" s="43"/>
      <c r="Q658" s="44"/>
      <c r="R658" s="35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43"/>
      <c r="B659" s="40"/>
      <c r="C659" s="44"/>
      <c r="D659" s="45"/>
      <c r="E659" s="44"/>
      <c r="F659" s="43"/>
      <c r="G659" s="43"/>
      <c r="H659" s="43"/>
      <c r="I659" s="46"/>
      <c r="J659" s="47"/>
      <c r="K659" s="48"/>
      <c r="L659" s="49"/>
      <c r="M659" s="49"/>
      <c r="N659" s="50"/>
      <c r="O659" s="43"/>
      <c r="P659" s="43"/>
      <c r="Q659" s="44"/>
      <c r="R659" s="35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43"/>
      <c r="B660" s="40"/>
      <c r="C660" s="44"/>
      <c r="D660" s="45"/>
      <c r="E660" s="44"/>
      <c r="F660" s="43"/>
      <c r="G660" s="43"/>
      <c r="H660" s="43"/>
      <c r="I660" s="46"/>
      <c r="J660" s="47"/>
      <c r="K660" s="48"/>
      <c r="L660" s="49"/>
      <c r="M660" s="49"/>
      <c r="N660" s="50"/>
      <c r="O660" s="43"/>
      <c r="P660" s="43"/>
      <c r="Q660" s="44"/>
      <c r="R660" s="35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43"/>
      <c r="B661" s="40"/>
      <c r="C661" s="44"/>
      <c r="D661" s="45"/>
      <c r="E661" s="44"/>
      <c r="F661" s="43"/>
      <c r="G661" s="43"/>
      <c r="H661" s="43"/>
      <c r="I661" s="46"/>
      <c r="J661" s="47"/>
      <c r="K661" s="48"/>
      <c r="L661" s="49"/>
      <c r="M661" s="49"/>
      <c r="N661" s="50"/>
      <c r="O661" s="43"/>
      <c r="P661" s="43"/>
      <c r="Q661" s="44"/>
      <c r="R661" s="35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43"/>
      <c r="B662" s="40"/>
      <c r="C662" s="44"/>
      <c r="D662" s="45"/>
      <c r="E662" s="44"/>
      <c r="F662" s="43"/>
      <c r="G662" s="43"/>
      <c r="H662" s="43"/>
      <c r="I662" s="46"/>
      <c r="J662" s="47"/>
      <c r="K662" s="48"/>
      <c r="L662" s="49"/>
      <c r="M662" s="49"/>
      <c r="N662" s="50"/>
      <c r="O662" s="43"/>
      <c r="P662" s="43"/>
      <c r="Q662" s="44"/>
      <c r="R662" s="35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43"/>
      <c r="B663" s="40"/>
      <c r="C663" s="44"/>
      <c r="D663" s="45"/>
      <c r="E663" s="44"/>
      <c r="F663" s="43"/>
      <c r="G663" s="43"/>
      <c r="H663" s="43"/>
      <c r="I663" s="46"/>
      <c r="J663" s="47"/>
      <c r="K663" s="48"/>
      <c r="L663" s="49"/>
      <c r="M663" s="49"/>
      <c r="N663" s="50"/>
      <c r="O663" s="43"/>
      <c r="P663" s="43"/>
      <c r="Q663" s="44"/>
      <c r="R663" s="35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43"/>
      <c r="B664" s="40"/>
      <c r="C664" s="44"/>
      <c r="D664" s="45"/>
      <c r="E664" s="44"/>
      <c r="F664" s="43"/>
      <c r="G664" s="43"/>
      <c r="H664" s="43"/>
      <c r="I664" s="46"/>
      <c r="J664" s="47"/>
      <c r="K664" s="48"/>
      <c r="L664" s="49"/>
      <c r="M664" s="49"/>
      <c r="N664" s="50"/>
      <c r="O664" s="43"/>
      <c r="P664" s="43"/>
      <c r="Q664" s="44"/>
      <c r="R664" s="35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43"/>
      <c r="B665" s="40"/>
      <c r="C665" s="44"/>
      <c r="D665" s="45"/>
      <c r="E665" s="44"/>
      <c r="F665" s="43"/>
      <c r="G665" s="43"/>
      <c r="H665" s="43"/>
      <c r="I665" s="46"/>
      <c r="J665" s="47"/>
      <c r="K665" s="48"/>
      <c r="L665" s="49"/>
      <c r="M665" s="49"/>
      <c r="N665" s="50"/>
      <c r="O665" s="43"/>
      <c r="P665" s="43"/>
      <c r="Q665" s="44"/>
      <c r="R665" s="35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43"/>
      <c r="B666" s="40"/>
      <c r="C666" s="44"/>
      <c r="D666" s="45"/>
      <c r="E666" s="44"/>
      <c r="F666" s="43"/>
      <c r="G666" s="43"/>
      <c r="H666" s="43"/>
      <c r="I666" s="46"/>
      <c r="J666" s="47"/>
      <c r="K666" s="48"/>
      <c r="L666" s="49"/>
      <c r="M666" s="49"/>
      <c r="N666" s="50"/>
      <c r="O666" s="43"/>
      <c r="P666" s="43"/>
      <c r="Q666" s="44"/>
      <c r="R666" s="35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43"/>
      <c r="B667" s="40"/>
      <c r="C667" s="44"/>
      <c r="D667" s="45"/>
      <c r="E667" s="44"/>
      <c r="F667" s="43"/>
      <c r="G667" s="43"/>
      <c r="H667" s="43"/>
      <c r="I667" s="46"/>
      <c r="J667" s="47"/>
      <c r="K667" s="48"/>
      <c r="L667" s="49"/>
      <c r="M667" s="49"/>
      <c r="N667" s="50"/>
      <c r="O667" s="43"/>
      <c r="P667" s="43"/>
      <c r="Q667" s="44"/>
      <c r="R667" s="35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43"/>
      <c r="B668" s="40"/>
      <c r="C668" s="44"/>
      <c r="D668" s="45"/>
      <c r="E668" s="44"/>
      <c r="F668" s="43"/>
      <c r="G668" s="43"/>
      <c r="H668" s="43"/>
      <c r="I668" s="46"/>
      <c r="J668" s="47"/>
      <c r="K668" s="48"/>
      <c r="L668" s="49"/>
      <c r="M668" s="49"/>
      <c r="N668" s="50"/>
      <c r="O668" s="43"/>
      <c r="P668" s="43"/>
      <c r="Q668" s="44"/>
      <c r="R668" s="35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43"/>
      <c r="B669" s="40"/>
      <c r="C669" s="44"/>
      <c r="D669" s="45"/>
      <c r="E669" s="44"/>
      <c r="F669" s="43"/>
      <c r="G669" s="43"/>
      <c r="H669" s="43"/>
      <c r="I669" s="46"/>
      <c r="J669" s="47"/>
      <c r="K669" s="48"/>
      <c r="L669" s="49"/>
      <c r="M669" s="49"/>
      <c r="N669" s="50"/>
      <c r="O669" s="43"/>
      <c r="P669" s="43"/>
      <c r="Q669" s="44"/>
      <c r="R669" s="35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43"/>
      <c r="B670" s="40"/>
      <c r="C670" s="44"/>
      <c r="D670" s="45"/>
      <c r="E670" s="44"/>
      <c r="F670" s="43"/>
      <c r="G670" s="43"/>
      <c r="H670" s="43"/>
      <c r="I670" s="46"/>
      <c r="J670" s="47"/>
      <c r="K670" s="48"/>
      <c r="L670" s="49"/>
      <c r="M670" s="49"/>
      <c r="N670" s="50"/>
      <c r="O670" s="43"/>
      <c r="P670" s="43"/>
      <c r="Q670" s="44"/>
      <c r="R670" s="35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43"/>
      <c r="B671" s="40"/>
      <c r="C671" s="44"/>
      <c r="D671" s="45"/>
      <c r="E671" s="44"/>
      <c r="F671" s="43"/>
      <c r="G671" s="43"/>
      <c r="H671" s="43"/>
      <c r="I671" s="46"/>
      <c r="J671" s="47"/>
      <c r="K671" s="48"/>
      <c r="L671" s="49"/>
      <c r="M671" s="49"/>
      <c r="N671" s="50"/>
      <c r="O671" s="43"/>
      <c r="P671" s="43"/>
      <c r="Q671" s="44"/>
      <c r="R671" s="35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43"/>
      <c r="B672" s="40"/>
      <c r="C672" s="44"/>
      <c r="D672" s="45"/>
      <c r="E672" s="44"/>
      <c r="F672" s="43"/>
      <c r="G672" s="43"/>
      <c r="H672" s="43"/>
      <c r="I672" s="46"/>
      <c r="J672" s="47"/>
      <c r="K672" s="48"/>
      <c r="L672" s="49"/>
      <c r="M672" s="49"/>
      <c r="N672" s="50"/>
      <c r="O672" s="43"/>
      <c r="P672" s="43"/>
      <c r="Q672" s="44"/>
      <c r="R672" s="35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43"/>
      <c r="B673" s="40"/>
      <c r="C673" s="44"/>
      <c r="D673" s="45"/>
      <c r="E673" s="44"/>
      <c r="F673" s="43"/>
      <c r="G673" s="43"/>
      <c r="H673" s="43"/>
      <c r="I673" s="46"/>
      <c r="J673" s="47"/>
      <c r="K673" s="48"/>
      <c r="L673" s="49"/>
      <c r="M673" s="49"/>
      <c r="N673" s="50"/>
      <c r="O673" s="43"/>
      <c r="P673" s="43"/>
      <c r="Q673" s="44"/>
      <c r="R673" s="35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43"/>
      <c r="B674" s="40"/>
      <c r="C674" s="44"/>
      <c r="D674" s="45"/>
      <c r="E674" s="44"/>
      <c r="F674" s="43"/>
      <c r="G674" s="43"/>
      <c r="H674" s="43"/>
      <c r="I674" s="46"/>
      <c r="J674" s="47"/>
      <c r="K674" s="48"/>
      <c r="L674" s="49"/>
      <c r="M674" s="49"/>
      <c r="N674" s="50"/>
      <c r="O674" s="43"/>
      <c r="P674" s="43"/>
      <c r="Q674" s="44"/>
      <c r="R674" s="35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43"/>
      <c r="B675" s="40"/>
      <c r="C675" s="44"/>
      <c r="D675" s="45"/>
      <c r="E675" s="44"/>
      <c r="F675" s="43"/>
      <c r="G675" s="43"/>
      <c r="H675" s="43"/>
      <c r="I675" s="46"/>
      <c r="J675" s="47"/>
      <c r="K675" s="48"/>
      <c r="L675" s="49"/>
      <c r="M675" s="49"/>
      <c r="N675" s="50"/>
      <c r="O675" s="43"/>
      <c r="P675" s="43"/>
      <c r="Q675" s="44"/>
      <c r="R675" s="35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43"/>
      <c r="B676" s="40"/>
      <c r="C676" s="44"/>
      <c r="D676" s="45"/>
      <c r="E676" s="44"/>
      <c r="F676" s="43"/>
      <c r="G676" s="43"/>
      <c r="H676" s="43"/>
      <c r="I676" s="46"/>
      <c r="J676" s="47"/>
      <c r="K676" s="48"/>
      <c r="L676" s="49"/>
      <c r="M676" s="49"/>
      <c r="N676" s="50"/>
      <c r="O676" s="43"/>
      <c r="P676" s="43"/>
      <c r="Q676" s="44"/>
      <c r="R676" s="35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43"/>
      <c r="B677" s="40"/>
      <c r="C677" s="44"/>
      <c r="D677" s="45"/>
      <c r="E677" s="44"/>
      <c r="F677" s="43"/>
      <c r="G677" s="43"/>
      <c r="H677" s="43"/>
      <c r="I677" s="46"/>
      <c r="J677" s="47"/>
      <c r="K677" s="48"/>
      <c r="L677" s="49"/>
      <c r="M677" s="49"/>
      <c r="N677" s="50"/>
      <c r="O677" s="43"/>
      <c r="P677" s="43"/>
      <c r="Q677" s="44"/>
      <c r="R677" s="35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43"/>
      <c r="B678" s="40"/>
      <c r="C678" s="44"/>
      <c r="D678" s="45"/>
      <c r="E678" s="44"/>
      <c r="F678" s="43"/>
      <c r="G678" s="43"/>
      <c r="H678" s="43"/>
      <c r="I678" s="46"/>
      <c r="J678" s="47"/>
      <c r="K678" s="48"/>
      <c r="L678" s="49"/>
      <c r="M678" s="49"/>
      <c r="N678" s="50"/>
      <c r="O678" s="43"/>
      <c r="P678" s="43"/>
      <c r="Q678" s="44"/>
      <c r="R678" s="35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43"/>
      <c r="B679" s="40"/>
      <c r="C679" s="44"/>
      <c r="D679" s="45"/>
      <c r="E679" s="44"/>
      <c r="F679" s="43"/>
      <c r="G679" s="43"/>
      <c r="H679" s="43"/>
      <c r="I679" s="46"/>
      <c r="J679" s="47"/>
      <c r="K679" s="48"/>
      <c r="L679" s="49"/>
      <c r="M679" s="49"/>
      <c r="N679" s="50"/>
      <c r="O679" s="43"/>
      <c r="P679" s="43"/>
      <c r="Q679" s="44"/>
      <c r="R679" s="35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43"/>
      <c r="B680" s="40"/>
      <c r="C680" s="44"/>
      <c r="D680" s="45"/>
      <c r="E680" s="44"/>
      <c r="F680" s="43"/>
      <c r="G680" s="43"/>
      <c r="H680" s="43"/>
      <c r="I680" s="46"/>
      <c r="J680" s="47"/>
      <c r="K680" s="48"/>
      <c r="L680" s="49"/>
      <c r="M680" s="49"/>
      <c r="N680" s="50"/>
      <c r="O680" s="43"/>
      <c r="P680" s="43"/>
      <c r="Q680" s="44"/>
      <c r="R680" s="35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43"/>
      <c r="B681" s="40"/>
      <c r="C681" s="44"/>
      <c r="D681" s="45"/>
      <c r="E681" s="44"/>
      <c r="F681" s="43"/>
      <c r="G681" s="43"/>
      <c r="H681" s="43"/>
      <c r="I681" s="46"/>
      <c r="J681" s="47"/>
      <c r="K681" s="48"/>
      <c r="L681" s="49"/>
      <c r="M681" s="49"/>
      <c r="N681" s="50"/>
      <c r="O681" s="43"/>
      <c r="P681" s="43"/>
      <c r="Q681" s="44"/>
      <c r="R681" s="35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43"/>
      <c r="B682" s="40"/>
      <c r="C682" s="44"/>
      <c r="D682" s="45"/>
      <c r="E682" s="44"/>
      <c r="F682" s="43"/>
      <c r="G682" s="43"/>
      <c r="H682" s="43"/>
      <c r="I682" s="46"/>
      <c r="J682" s="47"/>
      <c r="K682" s="48"/>
      <c r="L682" s="49"/>
      <c r="M682" s="49"/>
      <c r="N682" s="50"/>
      <c r="O682" s="43"/>
      <c r="P682" s="43"/>
      <c r="Q682" s="44"/>
      <c r="R682" s="35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43"/>
      <c r="B683" s="40"/>
      <c r="C683" s="44"/>
      <c r="D683" s="45"/>
      <c r="E683" s="44"/>
      <c r="F683" s="43"/>
      <c r="G683" s="43"/>
      <c r="H683" s="43"/>
      <c r="I683" s="46"/>
      <c r="J683" s="47"/>
      <c r="K683" s="48"/>
      <c r="L683" s="49"/>
      <c r="M683" s="49"/>
      <c r="N683" s="50"/>
      <c r="O683" s="43"/>
      <c r="P683" s="43"/>
      <c r="Q683" s="44"/>
      <c r="R683" s="35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43"/>
      <c r="B684" s="40"/>
      <c r="C684" s="44"/>
      <c r="D684" s="45"/>
      <c r="E684" s="44"/>
      <c r="F684" s="43"/>
      <c r="G684" s="43"/>
      <c r="H684" s="43"/>
      <c r="I684" s="46"/>
      <c r="J684" s="47"/>
      <c r="K684" s="48"/>
      <c r="L684" s="49"/>
      <c r="M684" s="49"/>
      <c r="N684" s="50"/>
      <c r="O684" s="43"/>
      <c r="P684" s="43"/>
      <c r="Q684" s="44"/>
      <c r="R684" s="35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43"/>
      <c r="B685" s="40"/>
      <c r="C685" s="44"/>
      <c r="D685" s="45"/>
      <c r="E685" s="44"/>
      <c r="F685" s="43"/>
      <c r="G685" s="43"/>
      <c r="H685" s="43"/>
      <c r="I685" s="46"/>
      <c r="J685" s="47"/>
      <c r="K685" s="48"/>
      <c r="L685" s="49"/>
      <c r="M685" s="49"/>
      <c r="N685" s="50"/>
      <c r="O685" s="43"/>
      <c r="P685" s="43"/>
      <c r="Q685" s="44"/>
      <c r="R685" s="35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43"/>
      <c r="B686" s="40"/>
      <c r="C686" s="44"/>
      <c r="D686" s="45"/>
      <c r="E686" s="44"/>
      <c r="F686" s="43"/>
      <c r="G686" s="43"/>
      <c r="H686" s="43"/>
      <c r="I686" s="46"/>
      <c r="J686" s="47"/>
      <c r="K686" s="48"/>
      <c r="L686" s="49"/>
      <c r="M686" s="49"/>
      <c r="N686" s="50"/>
      <c r="O686" s="43"/>
      <c r="P686" s="43"/>
      <c r="Q686" s="44"/>
      <c r="R686" s="35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43"/>
      <c r="B687" s="40"/>
      <c r="C687" s="44"/>
      <c r="D687" s="45"/>
      <c r="E687" s="44"/>
      <c r="F687" s="43"/>
      <c r="G687" s="43"/>
      <c r="H687" s="43"/>
      <c r="I687" s="46"/>
      <c r="J687" s="47"/>
      <c r="K687" s="48"/>
      <c r="L687" s="49"/>
      <c r="M687" s="49"/>
      <c r="N687" s="50"/>
      <c r="O687" s="43"/>
      <c r="P687" s="43"/>
      <c r="Q687" s="44"/>
      <c r="R687" s="35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43"/>
      <c r="B688" s="40"/>
      <c r="C688" s="44"/>
      <c r="D688" s="45"/>
      <c r="E688" s="44"/>
      <c r="F688" s="43"/>
      <c r="G688" s="43"/>
      <c r="H688" s="43"/>
      <c r="I688" s="46"/>
      <c r="J688" s="47"/>
      <c r="K688" s="48"/>
      <c r="L688" s="49"/>
      <c r="M688" s="49"/>
      <c r="N688" s="50"/>
      <c r="O688" s="43"/>
      <c r="P688" s="43"/>
      <c r="Q688" s="44"/>
      <c r="R688" s="35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43"/>
      <c r="B689" s="40"/>
      <c r="C689" s="44"/>
      <c r="D689" s="45"/>
      <c r="E689" s="44"/>
      <c r="F689" s="43"/>
      <c r="G689" s="43"/>
      <c r="H689" s="43"/>
      <c r="I689" s="46"/>
      <c r="J689" s="47"/>
      <c r="K689" s="48"/>
      <c r="L689" s="49"/>
      <c r="M689" s="49"/>
      <c r="N689" s="50"/>
      <c r="O689" s="43"/>
      <c r="P689" s="43"/>
      <c r="Q689" s="44"/>
      <c r="R689" s="35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43"/>
      <c r="B690" s="40"/>
      <c r="C690" s="44"/>
      <c r="D690" s="45"/>
      <c r="E690" s="44"/>
      <c r="F690" s="43"/>
      <c r="G690" s="43"/>
      <c r="H690" s="43"/>
      <c r="I690" s="46"/>
      <c r="J690" s="47"/>
      <c r="K690" s="48"/>
      <c r="L690" s="49"/>
      <c r="M690" s="49"/>
      <c r="N690" s="50"/>
      <c r="O690" s="43"/>
      <c r="P690" s="43"/>
      <c r="Q690" s="44"/>
      <c r="R690" s="35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43"/>
      <c r="B691" s="40"/>
      <c r="C691" s="44"/>
      <c r="D691" s="45"/>
      <c r="E691" s="44"/>
      <c r="F691" s="43"/>
      <c r="G691" s="43"/>
      <c r="H691" s="43"/>
      <c r="I691" s="46"/>
      <c r="J691" s="47"/>
      <c r="K691" s="48"/>
      <c r="L691" s="49"/>
      <c r="M691" s="49"/>
      <c r="N691" s="50"/>
      <c r="O691" s="43"/>
      <c r="P691" s="43"/>
      <c r="Q691" s="44"/>
      <c r="R691" s="35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43"/>
      <c r="B692" s="40"/>
      <c r="C692" s="44"/>
      <c r="D692" s="45"/>
      <c r="E692" s="44"/>
      <c r="F692" s="43"/>
      <c r="G692" s="43"/>
      <c r="H692" s="43"/>
      <c r="I692" s="46"/>
      <c r="J692" s="47"/>
      <c r="K692" s="48"/>
      <c r="L692" s="49"/>
      <c r="M692" s="49"/>
      <c r="N692" s="50"/>
      <c r="O692" s="43"/>
      <c r="P692" s="43"/>
      <c r="Q692" s="44"/>
      <c r="R692" s="35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43"/>
      <c r="B693" s="40"/>
      <c r="C693" s="44"/>
      <c r="D693" s="45"/>
      <c r="E693" s="44"/>
      <c r="F693" s="43"/>
      <c r="G693" s="43"/>
      <c r="H693" s="43"/>
      <c r="I693" s="46"/>
      <c r="J693" s="47"/>
      <c r="K693" s="48"/>
      <c r="L693" s="49"/>
      <c r="M693" s="49"/>
      <c r="N693" s="50"/>
      <c r="O693" s="43"/>
      <c r="P693" s="43"/>
      <c r="Q693" s="44"/>
      <c r="R693" s="35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43"/>
      <c r="B694" s="40"/>
      <c r="C694" s="44"/>
      <c r="D694" s="45"/>
      <c r="E694" s="44"/>
      <c r="F694" s="43"/>
      <c r="G694" s="43"/>
      <c r="H694" s="43"/>
      <c r="I694" s="46"/>
      <c r="J694" s="47"/>
      <c r="K694" s="48"/>
      <c r="L694" s="49"/>
      <c r="M694" s="49"/>
      <c r="N694" s="50"/>
      <c r="O694" s="43"/>
      <c r="P694" s="43"/>
      <c r="Q694" s="44"/>
      <c r="R694" s="35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43"/>
      <c r="B695" s="40"/>
      <c r="C695" s="44"/>
      <c r="D695" s="45"/>
      <c r="E695" s="44"/>
      <c r="F695" s="43"/>
      <c r="G695" s="43"/>
      <c r="H695" s="43"/>
      <c r="I695" s="46"/>
      <c r="J695" s="47"/>
      <c r="K695" s="48"/>
      <c r="L695" s="49"/>
      <c r="M695" s="49"/>
      <c r="N695" s="50"/>
      <c r="O695" s="43"/>
      <c r="P695" s="43"/>
      <c r="Q695" s="44"/>
      <c r="R695" s="35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43"/>
      <c r="B696" s="40"/>
      <c r="C696" s="44"/>
      <c r="D696" s="45"/>
      <c r="E696" s="44"/>
      <c r="F696" s="43"/>
      <c r="G696" s="43"/>
      <c r="H696" s="43"/>
      <c r="I696" s="46"/>
      <c r="J696" s="47"/>
      <c r="K696" s="48"/>
      <c r="L696" s="49"/>
      <c r="M696" s="49"/>
      <c r="N696" s="50"/>
      <c r="O696" s="43"/>
      <c r="P696" s="43"/>
      <c r="Q696" s="44"/>
      <c r="R696" s="35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43"/>
      <c r="B697" s="40"/>
      <c r="C697" s="44"/>
      <c r="D697" s="45"/>
      <c r="E697" s="44"/>
      <c r="F697" s="43"/>
      <c r="G697" s="43"/>
      <c r="H697" s="43"/>
      <c r="I697" s="46"/>
      <c r="J697" s="47"/>
      <c r="K697" s="48"/>
      <c r="L697" s="49"/>
      <c r="M697" s="49"/>
      <c r="N697" s="50"/>
      <c r="O697" s="43"/>
      <c r="P697" s="43"/>
      <c r="Q697" s="44"/>
      <c r="R697" s="35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43"/>
      <c r="B698" s="40"/>
      <c r="C698" s="44"/>
      <c r="D698" s="45"/>
      <c r="E698" s="44"/>
      <c r="F698" s="43"/>
      <c r="G698" s="43"/>
      <c r="H698" s="43"/>
      <c r="I698" s="46"/>
      <c r="J698" s="47"/>
      <c r="K698" s="48"/>
      <c r="L698" s="49"/>
      <c r="M698" s="49"/>
      <c r="N698" s="50"/>
      <c r="O698" s="43"/>
      <c r="P698" s="43"/>
      <c r="Q698" s="44"/>
      <c r="R698" s="35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43"/>
      <c r="B699" s="40"/>
      <c r="C699" s="44"/>
      <c r="D699" s="45"/>
      <c r="E699" s="44"/>
      <c r="F699" s="43"/>
      <c r="G699" s="43"/>
      <c r="H699" s="43"/>
      <c r="I699" s="46"/>
      <c r="J699" s="47"/>
      <c r="K699" s="48"/>
      <c r="L699" s="49"/>
      <c r="M699" s="49"/>
      <c r="N699" s="50"/>
      <c r="O699" s="43"/>
      <c r="P699" s="43"/>
      <c r="Q699" s="44"/>
      <c r="R699" s="35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43"/>
      <c r="B700" s="40"/>
      <c r="C700" s="44"/>
      <c r="D700" s="45"/>
      <c r="E700" s="44"/>
      <c r="F700" s="43"/>
      <c r="G700" s="43"/>
      <c r="H700" s="43"/>
      <c r="I700" s="46"/>
      <c r="J700" s="47"/>
      <c r="K700" s="48"/>
      <c r="L700" s="49"/>
      <c r="M700" s="49"/>
      <c r="N700" s="50"/>
      <c r="O700" s="43"/>
      <c r="P700" s="43"/>
      <c r="Q700" s="44"/>
      <c r="R700" s="35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43"/>
      <c r="B701" s="40"/>
      <c r="C701" s="44"/>
      <c r="D701" s="45"/>
      <c r="E701" s="44"/>
      <c r="F701" s="43"/>
      <c r="G701" s="43"/>
      <c r="H701" s="43"/>
      <c r="I701" s="46"/>
      <c r="J701" s="47"/>
      <c r="K701" s="48"/>
      <c r="L701" s="49"/>
      <c r="M701" s="49"/>
      <c r="N701" s="50"/>
      <c r="O701" s="43"/>
      <c r="P701" s="43"/>
      <c r="Q701" s="44"/>
      <c r="R701" s="35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43"/>
      <c r="B702" s="40"/>
      <c r="C702" s="44"/>
      <c r="D702" s="45"/>
      <c r="E702" s="44"/>
      <c r="F702" s="43"/>
      <c r="G702" s="43"/>
      <c r="H702" s="43"/>
      <c r="I702" s="46"/>
      <c r="J702" s="47"/>
      <c r="K702" s="48"/>
      <c r="L702" s="49"/>
      <c r="M702" s="49"/>
      <c r="N702" s="50"/>
      <c r="O702" s="43"/>
      <c r="P702" s="43"/>
      <c r="Q702" s="44"/>
      <c r="R702" s="35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43"/>
      <c r="B703" s="40"/>
      <c r="C703" s="44"/>
      <c r="D703" s="45"/>
      <c r="E703" s="44"/>
      <c r="F703" s="43"/>
      <c r="G703" s="43"/>
      <c r="H703" s="43"/>
      <c r="I703" s="46"/>
      <c r="J703" s="47"/>
      <c r="K703" s="48"/>
      <c r="L703" s="49"/>
      <c r="M703" s="49"/>
      <c r="N703" s="50"/>
      <c r="O703" s="43"/>
      <c r="P703" s="43"/>
      <c r="Q703" s="44"/>
      <c r="R703" s="35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43"/>
      <c r="B704" s="40"/>
      <c r="C704" s="44"/>
      <c r="D704" s="45"/>
      <c r="E704" s="44"/>
      <c r="F704" s="43"/>
      <c r="G704" s="43"/>
      <c r="H704" s="43"/>
      <c r="I704" s="46"/>
      <c r="J704" s="47"/>
      <c r="K704" s="48"/>
      <c r="L704" s="49"/>
      <c r="M704" s="49"/>
      <c r="N704" s="50"/>
      <c r="O704" s="43"/>
      <c r="P704" s="43"/>
      <c r="Q704" s="44"/>
      <c r="R704" s="35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43"/>
      <c r="B705" s="40"/>
      <c r="C705" s="44"/>
      <c r="D705" s="45"/>
      <c r="E705" s="44"/>
      <c r="F705" s="43"/>
      <c r="G705" s="43"/>
      <c r="H705" s="43"/>
      <c r="I705" s="46"/>
      <c r="J705" s="47"/>
      <c r="K705" s="48"/>
      <c r="L705" s="49"/>
      <c r="M705" s="49"/>
      <c r="N705" s="50"/>
      <c r="O705" s="43"/>
      <c r="P705" s="43"/>
      <c r="Q705" s="44"/>
      <c r="R705" s="35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43"/>
      <c r="B706" s="40"/>
      <c r="C706" s="44"/>
      <c r="D706" s="45"/>
      <c r="E706" s="44"/>
      <c r="F706" s="43"/>
      <c r="G706" s="43"/>
      <c r="H706" s="43"/>
      <c r="I706" s="46"/>
      <c r="J706" s="47"/>
      <c r="K706" s="48"/>
      <c r="L706" s="49"/>
      <c r="M706" s="49"/>
      <c r="N706" s="50"/>
      <c r="O706" s="43"/>
      <c r="P706" s="43"/>
      <c r="Q706" s="44"/>
      <c r="R706" s="35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43"/>
      <c r="B707" s="40"/>
      <c r="C707" s="44"/>
      <c r="D707" s="45"/>
      <c r="E707" s="44"/>
      <c r="F707" s="43"/>
      <c r="G707" s="43"/>
      <c r="H707" s="43"/>
      <c r="I707" s="46"/>
      <c r="J707" s="47"/>
      <c r="K707" s="48"/>
      <c r="L707" s="49"/>
      <c r="M707" s="49"/>
      <c r="N707" s="50"/>
      <c r="O707" s="43"/>
      <c r="P707" s="43"/>
      <c r="Q707" s="44"/>
      <c r="R707" s="35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43"/>
      <c r="B708" s="40"/>
      <c r="C708" s="44"/>
      <c r="D708" s="45"/>
      <c r="E708" s="44"/>
      <c r="F708" s="43"/>
      <c r="G708" s="43"/>
      <c r="H708" s="43"/>
      <c r="I708" s="46"/>
      <c r="J708" s="47"/>
      <c r="K708" s="48"/>
      <c r="L708" s="49"/>
      <c r="M708" s="49"/>
      <c r="N708" s="50"/>
      <c r="O708" s="43"/>
      <c r="P708" s="43"/>
      <c r="Q708" s="44"/>
      <c r="R708" s="35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43"/>
      <c r="B709" s="40"/>
      <c r="C709" s="44"/>
      <c r="D709" s="45"/>
      <c r="E709" s="44"/>
      <c r="F709" s="43"/>
      <c r="G709" s="43"/>
      <c r="H709" s="43"/>
      <c r="I709" s="46"/>
      <c r="J709" s="47"/>
      <c r="K709" s="48"/>
      <c r="L709" s="49"/>
      <c r="M709" s="49"/>
      <c r="N709" s="50"/>
      <c r="O709" s="43"/>
      <c r="P709" s="43"/>
      <c r="Q709" s="44"/>
      <c r="R709" s="35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43"/>
      <c r="B710" s="40"/>
      <c r="C710" s="44"/>
      <c r="D710" s="45"/>
      <c r="E710" s="44"/>
      <c r="F710" s="43"/>
      <c r="G710" s="43"/>
      <c r="H710" s="43"/>
      <c r="I710" s="46"/>
      <c r="J710" s="47"/>
      <c r="K710" s="48"/>
      <c r="L710" s="49"/>
      <c r="M710" s="49"/>
      <c r="N710" s="50"/>
      <c r="O710" s="43"/>
      <c r="P710" s="43"/>
      <c r="Q710" s="44"/>
      <c r="R710" s="35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43"/>
      <c r="B711" s="40"/>
      <c r="C711" s="44"/>
      <c r="D711" s="45"/>
      <c r="E711" s="44"/>
      <c r="F711" s="43"/>
      <c r="G711" s="43"/>
      <c r="H711" s="43"/>
      <c r="I711" s="46"/>
      <c r="J711" s="47"/>
      <c r="K711" s="48"/>
      <c r="L711" s="49"/>
      <c r="M711" s="49"/>
      <c r="N711" s="50"/>
      <c r="O711" s="43"/>
      <c r="P711" s="43"/>
      <c r="Q711" s="44"/>
      <c r="R711" s="35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43"/>
      <c r="B712" s="40"/>
      <c r="C712" s="44"/>
      <c r="D712" s="45"/>
      <c r="E712" s="44"/>
      <c r="F712" s="43"/>
      <c r="G712" s="43"/>
      <c r="H712" s="43"/>
      <c r="I712" s="46"/>
      <c r="J712" s="47"/>
      <c r="K712" s="48"/>
      <c r="L712" s="49"/>
      <c r="M712" s="49"/>
      <c r="N712" s="50"/>
      <c r="O712" s="43"/>
      <c r="P712" s="43"/>
      <c r="Q712" s="44"/>
      <c r="R712" s="35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43"/>
      <c r="B713" s="40"/>
      <c r="C713" s="44"/>
      <c r="D713" s="45"/>
      <c r="E713" s="44"/>
      <c r="F713" s="43"/>
      <c r="G713" s="43"/>
      <c r="H713" s="43"/>
      <c r="I713" s="46"/>
      <c r="J713" s="47"/>
      <c r="K713" s="48"/>
      <c r="L713" s="49"/>
      <c r="M713" s="49"/>
      <c r="N713" s="50"/>
      <c r="O713" s="43"/>
      <c r="P713" s="43"/>
      <c r="Q713" s="44"/>
      <c r="R713" s="35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43"/>
      <c r="B714" s="40"/>
      <c r="C714" s="44"/>
      <c r="D714" s="45"/>
      <c r="E714" s="44"/>
      <c r="F714" s="43"/>
      <c r="G714" s="43"/>
      <c r="H714" s="43"/>
      <c r="I714" s="46"/>
      <c r="J714" s="47"/>
      <c r="K714" s="48"/>
      <c r="L714" s="49"/>
      <c r="M714" s="49"/>
      <c r="N714" s="50"/>
      <c r="O714" s="43"/>
      <c r="P714" s="43"/>
      <c r="Q714" s="44"/>
      <c r="R714" s="35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43"/>
      <c r="B715" s="40"/>
      <c r="C715" s="44"/>
      <c r="D715" s="45"/>
      <c r="E715" s="44"/>
      <c r="F715" s="43"/>
      <c r="G715" s="43"/>
      <c r="H715" s="43"/>
      <c r="I715" s="46"/>
      <c r="J715" s="47"/>
      <c r="K715" s="48"/>
      <c r="L715" s="49"/>
      <c r="M715" s="49"/>
      <c r="N715" s="50"/>
      <c r="O715" s="43"/>
      <c r="P715" s="43"/>
      <c r="Q715" s="44"/>
      <c r="R715" s="35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43"/>
      <c r="B716" s="40"/>
      <c r="C716" s="44"/>
      <c r="D716" s="45"/>
      <c r="E716" s="44"/>
      <c r="F716" s="43"/>
      <c r="G716" s="43"/>
      <c r="H716" s="43"/>
      <c r="I716" s="46"/>
      <c r="J716" s="47"/>
      <c r="K716" s="48"/>
      <c r="L716" s="49"/>
      <c r="M716" s="49"/>
      <c r="N716" s="50"/>
      <c r="O716" s="43"/>
      <c r="P716" s="43"/>
      <c r="Q716" s="44"/>
      <c r="R716" s="35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43"/>
      <c r="B717" s="40"/>
      <c r="C717" s="44"/>
      <c r="D717" s="45"/>
      <c r="E717" s="44"/>
      <c r="F717" s="43"/>
      <c r="G717" s="43"/>
      <c r="H717" s="43"/>
      <c r="I717" s="46"/>
      <c r="J717" s="47"/>
      <c r="K717" s="48"/>
      <c r="L717" s="49"/>
      <c r="M717" s="49"/>
      <c r="N717" s="50"/>
      <c r="O717" s="43"/>
      <c r="P717" s="43"/>
      <c r="Q717" s="44"/>
      <c r="R717" s="35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43"/>
      <c r="B718" s="40"/>
      <c r="C718" s="44"/>
      <c r="D718" s="45"/>
      <c r="E718" s="44"/>
      <c r="F718" s="43"/>
      <c r="G718" s="43"/>
      <c r="H718" s="43"/>
      <c r="I718" s="46"/>
      <c r="J718" s="47"/>
      <c r="K718" s="48"/>
      <c r="L718" s="49"/>
      <c r="M718" s="49"/>
      <c r="N718" s="50"/>
      <c r="O718" s="43"/>
      <c r="P718" s="43"/>
      <c r="Q718" s="44"/>
      <c r="R718" s="35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43"/>
      <c r="B719" s="40"/>
      <c r="C719" s="44"/>
      <c r="D719" s="45"/>
      <c r="E719" s="44"/>
      <c r="F719" s="43"/>
      <c r="G719" s="43"/>
      <c r="H719" s="43"/>
      <c r="I719" s="46"/>
      <c r="J719" s="47"/>
      <c r="K719" s="48"/>
      <c r="L719" s="49"/>
      <c r="M719" s="49"/>
      <c r="N719" s="50"/>
      <c r="O719" s="43"/>
      <c r="P719" s="43"/>
      <c r="Q719" s="44"/>
      <c r="R719" s="35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43"/>
      <c r="B720" s="40"/>
      <c r="C720" s="44"/>
      <c r="D720" s="45"/>
      <c r="E720" s="44"/>
      <c r="F720" s="43"/>
      <c r="G720" s="43"/>
      <c r="H720" s="43"/>
      <c r="I720" s="46"/>
      <c r="J720" s="47"/>
      <c r="K720" s="48"/>
      <c r="L720" s="49"/>
      <c r="M720" s="49"/>
      <c r="N720" s="50"/>
      <c r="O720" s="43"/>
      <c r="P720" s="43"/>
      <c r="Q720" s="44"/>
      <c r="R720" s="35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43"/>
      <c r="B721" s="40"/>
      <c r="C721" s="44"/>
      <c r="D721" s="45"/>
      <c r="E721" s="44"/>
      <c r="F721" s="43"/>
      <c r="G721" s="43"/>
      <c r="H721" s="43"/>
      <c r="I721" s="46"/>
      <c r="J721" s="47"/>
      <c r="K721" s="48"/>
      <c r="L721" s="49"/>
      <c r="M721" s="49"/>
      <c r="N721" s="50"/>
      <c r="O721" s="43"/>
      <c r="P721" s="43"/>
      <c r="Q721" s="44"/>
      <c r="R721" s="35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43"/>
      <c r="B722" s="40"/>
      <c r="C722" s="44"/>
      <c r="D722" s="45"/>
      <c r="E722" s="44"/>
      <c r="F722" s="43"/>
      <c r="G722" s="43"/>
      <c r="H722" s="43"/>
      <c r="I722" s="46"/>
      <c r="J722" s="47"/>
      <c r="K722" s="48"/>
      <c r="L722" s="49"/>
      <c r="M722" s="49"/>
      <c r="N722" s="50"/>
      <c r="O722" s="43"/>
      <c r="P722" s="43"/>
      <c r="Q722" s="44"/>
      <c r="R722" s="35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43"/>
      <c r="B723" s="40"/>
      <c r="C723" s="44"/>
      <c r="D723" s="45"/>
      <c r="E723" s="44"/>
      <c r="F723" s="43"/>
      <c r="G723" s="43"/>
      <c r="H723" s="43"/>
      <c r="I723" s="46"/>
      <c r="J723" s="47"/>
      <c r="K723" s="48"/>
      <c r="L723" s="49"/>
      <c r="M723" s="49"/>
      <c r="N723" s="50"/>
      <c r="O723" s="43"/>
      <c r="P723" s="43"/>
      <c r="Q723" s="44"/>
      <c r="R723" s="35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43"/>
      <c r="B724" s="40"/>
      <c r="C724" s="44"/>
      <c r="D724" s="45"/>
      <c r="E724" s="44"/>
      <c r="F724" s="43"/>
      <c r="G724" s="43"/>
      <c r="H724" s="43"/>
      <c r="I724" s="46"/>
      <c r="J724" s="47"/>
      <c r="K724" s="48"/>
      <c r="L724" s="49"/>
      <c r="M724" s="49"/>
      <c r="N724" s="50"/>
      <c r="O724" s="43"/>
      <c r="P724" s="43"/>
      <c r="Q724" s="44"/>
      <c r="R724" s="35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43"/>
      <c r="B725" s="40"/>
      <c r="C725" s="44"/>
      <c r="D725" s="45"/>
      <c r="E725" s="44"/>
      <c r="F725" s="43"/>
      <c r="G725" s="43"/>
      <c r="H725" s="43"/>
      <c r="I725" s="46"/>
      <c r="J725" s="47"/>
      <c r="K725" s="48"/>
      <c r="L725" s="49"/>
      <c r="M725" s="49"/>
      <c r="N725" s="50"/>
      <c r="O725" s="43"/>
      <c r="P725" s="43"/>
      <c r="Q725" s="44"/>
      <c r="R725" s="35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43"/>
      <c r="B726" s="40"/>
      <c r="C726" s="44"/>
      <c r="D726" s="45"/>
      <c r="E726" s="44"/>
      <c r="F726" s="43"/>
      <c r="G726" s="43"/>
      <c r="H726" s="43"/>
      <c r="I726" s="46"/>
      <c r="J726" s="47"/>
      <c r="K726" s="48"/>
      <c r="L726" s="49"/>
      <c r="M726" s="49"/>
      <c r="N726" s="50"/>
      <c r="O726" s="43"/>
      <c r="P726" s="43"/>
      <c r="Q726" s="44"/>
      <c r="R726" s="35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43"/>
      <c r="B727" s="40"/>
      <c r="C727" s="44"/>
      <c r="D727" s="45"/>
      <c r="E727" s="44"/>
      <c r="F727" s="43"/>
      <c r="G727" s="43"/>
      <c r="H727" s="43"/>
      <c r="I727" s="46"/>
      <c r="J727" s="47"/>
      <c r="K727" s="48"/>
      <c r="L727" s="49"/>
      <c r="M727" s="49"/>
      <c r="N727" s="50"/>
      <c r="O727" s="43"/>
      <c r="P727" s="43"/>
      <c r="Q727" s="44"/>
      <c r="R727" s="35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43"/>
      <c r="B728" s="40"/>
      <c r="C728" s="44"/>
      <c r="D728" s="45"/>
      <c r="E728" s="44"/>
      <c r="F728" s="43"/>
      <c r="G728" s="43"/>
      <c r="H728" s="43"/>
      <c r="I728" s="46"/>
      <c r="J728" s="47"/>
      <c r="K728" s="48"/>
      <c r="L728" s="49"/>
      <c r="M728" s="49"/>
      <c r="N728" s="50"/>
      <c r="O728" s="43"/>
      <c r="P728" s="43"/>
      <c r="Q728" s="44"/>
      <c r="R728" s="35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43"/>
      <c r="B729" s="40"/>
      <c r="C729" s="44"/>
      <c r="D729" s="45"/>
      <c r="E729" s="44"/>
      <c r="F729" s="43"/>
      <c r="G729" s="43"/>
      <c r="H729" s="43"/>
      <c r="I729" s="46"/>
      <c r="J729" s="47"/>
      <c r="K729" s="48"/>
      <c r="L729" s="49"/>
      <c r="M729" s="49"/>
      <c r="N729" s="50"/>
      <c r="O729" s="43"/>
      <c r="P729" s="43"/>
      <c r="Q729" s="44"/>
      <c r="R729" s="35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43"/>
      <c r="B730" s="40"/>
      <c r="C730" s="44"/>
      <c r="D730" s="45"/>
      <c r="E730" s="44"/>
      <c r="F730" s="43"/>
      <c r="G730" s="43"/>
      <c r="H730" s="43"/>
      <c r="I730" s="46"/>
      <c r="J730" s="47"/>
      <c r="K730" s="48"/>
      <c r="L730" s="49"/>
      <c r="M730" s="49"/>
      <c r="N730" s="50"/>
      <c r="O730" s="43"/>
      <c r="P730" s="43"/>
      <c r="Q730" s="44"/>
      <c r="R730" s="35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43"/>
      <c r="B731" s="40"/>
      <c r="C731" s="44"/>
      <c r="D731" s="45"/>
      <c r="E731" s="44"/>
      <c r="F731" s="43"/>
      <c r="G731" s="43"/>
      <c r="H731" s="43"/>
      <c r="I731" s="46"/>
      <c r="J731" s="47"/>
      <c r="K731" s="48"/>
      <c r="L731" s="49"/>
      <c r="M731" s="49"/>
      <c r="N731" s="50"/>
      <c r="O731" s="43"/>
      <c r="P731" s="43"/>
      <c r="Q731" s="44"/>
      <c r="R731" s="35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43"/>
      <c r="B732" s="40"/>
      <c r="C732" s="44"/>
      <c r="D732" s="45"/>
      <c r="E732" s="44"/>
      <c r="F732" s="43"/>
      <c r="G732" s="43"/>
      <c r="H732" s="43"/>
      <c r="I732" s="46"/>
      <c r="J732" s="47"/>
      <c r="K732" s="48"/>
      <c r="L732" s="49"/>
      <c r="M732" s="49"/>
      <c r="N732" s="50"/>
      <c r="O732" s="43"/>
      <c r="P732" s="43"/>
      <c r="Q732" s="44"/>
      <c r="R732" s="35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43"/>
      <c r="B733" s="40"/>
      <c r="C733" s="44"/>
      <c r="D733" s="45"/>
      <c r="E733" s="44"/>
      <c r="F733" s="43"/>
      <c r="G733" s="43"/>
      <c r="H733" s="43"/>
      <c r="I733" s="46"/>
      <c r="J733" s="47"/>
      <c r="K733" s="48"/>
      <c r="L733" s="49"/>
      <c r="M733" s="49"/>
      <c r="N733" s="50"/>
      <c r="O733" s="43"/>
      <c r="P733" s="43"/>
      <c r="Q733" s="44"/>
      <c r="R733" s="35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43"/>
      <c r="B734" s="40"/>
      <c r="C734" s="44"/>
      <c r="D734" s="45"/>
      <c r="E734" s="44"/>
      <c r="F734" s="43"/>
      <c r="G734" s="43"/>
      <c r="H734" s="43"/>
      <c r="I734" s="46"/>
      <c r="J734" s="47"/>
      <c r="K734" s="48"/>
      <c r="L734" s="49"/>
      <c r="M734" s="49"/>
      <c r="N734" s="50"/>
      <c r="O734" s="43"/>
      <c r="P734" s="43"/>
      <c r="Q734" s="44"/>
      <c r="R734" s="35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43"/>
      <c r="B735" s="40"/>
      <c r="C735" s="44"/>
      <c r="D735" s="45"/>
      <c r="E735" s="44"/>
      <c r="F735" s="43"/>
      <c r="G735" s="43"/>
      <c r="H735" s="43"/>
      <c r="I735" s="46"/>
      <c r="J735" s="47"/>
      <c r="K735" s="48"/>
      <c r="L735" s="49"/>
      <c r="M735" s="49"/>
      <c r="N735" s="50"/>
      <c r="O735" s="43"/>
      <c r="P735" s="43"/>
      <c r="Q735" s="44"/>
      <c r="R735" s="35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43"/>
      <c r="B736" s="40"/>
      <c r="C736" s="44"/>
      <c r="D736" s="45"/>
      <c r="E736" s="44"/>
      <c r="F736" s="43"/>
      <c r="G736" s="43"/>
      <c r="H736" s="43"/>
      <c r="I736" s="46"/>
      <c r="J736" s="47"/>
      <c r="K736" s="48"/>
      <c r="L736" s="49"/>
      <c r="M736" s="49"/>
      <c r="N736" s="50"/>
      <c r="O736" s="43"/>
      <c r="P736" s="43"/>
      <c r="Q736" s="44"/>
      <c r="R736" s="35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43"/>
      <c r="B737" s="40"/>
      <c r="C737" s="44"/>
      <c r="D737" s="45"/>
      <c r="E737" s="44"/>
      <c r="F737" s="43"/>
      <c r="G737" s="43"/>
      <c r="H737" s="43"/>
      <c r="I737" s="46"/>
      <c r="J737" s="47"/>
      <c r="K737" s="48"/>
      <c r="L737" s="49"/>
      <c r="M737" s="49"/>
      <c r="N737" s="50"/>
      <c r="O737" s="43"/>
      <c r="P737" s="43"/>
      <c r="Q737" s="44"/>
      <c r="R737" s="35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43"/>
      <c r="B738" s="40"/>
      <c r="C738" s="44"/>
      <c r="D738" s="45"/>
      <c r="E738" s="44"/>
      <c r="F738" s="43"/>
      <c r="G738" s="43"/>
      <c r="H738" s="43"/>
      <c r="I738" s="46"/>
      <c r="J738" s="47"/>
      <c r="K738" s="48"/>
      <c r="L738" s="49"/>
      <c r="M738" s="49"/>
      <c r="N738" s="50"/>
      <c r="O738" s="43"/>
      <c r="P738" s="43"/>
      <c r="Q738" s="44"/>
      <c r="R738" s="35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43"/>
      <c r="B739" s="40"/>
      <c r="C739" s="44"/>
      <c r="D739" s="45"/>
      <c r="E739" s="44"/>
      <c r="F739" s="43"/>
      <c r="G739" s="43"/>
      <c r="H739" s="43"/>
      <c r="I739" s="46"/>
      <c r="J739" s="47"/>
      <c r="K739" s="48"/>
      <c r="L739" s="49"/>
      <c r="M739" s="49"/>
      <c r="N739" s="50"/>
      <c r="O739" s="43"/>
      <c r="P739" s="43"/>
      <c r="Q739" s="44"/>
      <c r="R739" s="35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43"/>
      <c r="B740" s="40"/>
      <c r="C740" s="44"/>
      <c r="D740" s="45"/>
      <c r="E740" s="44"/>
      <c r="F740" s="43"/>
      <c r="G740" s="43"/>
      <c r="H740" s="43"/>
      <c r="I740" s="46"/>
      <c r="J740" s="47"/>
      <c r="K740" s="48"/>
      <c r="L740" s="49"/>
      <c r="M740" s="49"/>
      <c r="N740" s="50"/>
      <c r="O740" s="43"/>
      <c r="P740" s="43"/>
      <c r="Q740" s="44"/>
      <c r="R740" s="35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43"/>
      <c r="B741" s="40"/>
      <c r="C741" s="44"/>
      <c r="D741" s="45"/>
      <c r="E741" s="44"/>
      <c r="F741" s="43"/>
      <c r="G741" s="43"/>
      <c r="H741" s="43"/>
      <c r="I741" s="46"/>
      <c r="J741" s="47"/>
      <c r="K741" s="48"/>
      <c r="L741" s="49"/>
      <c r="M741" s="49"/>
      <c r="N741" s="50"/>
      <c r="O741" s="43"/>
      <c r="P741" s="43"/>
      <c r="Q741" s="44"/>
      <c r="R741" s="35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43"/>
      <c r="B742" s="40"/>
      <c r="C742" s="44"/>
      <c r="D742" s="45"/>
      <c r="E742" s="44"/>
      <c r="F742" s="43"/>
      <c r="G742" s="43"/>
      <c r="H742" s="43"/>
      <c r="I742" s="46"/>
      <c r="J742" s="47"/>
      <c r="K742" s="48"/>
      <c r="L742" s="49"/>
      <c r="M742" s="49"/>
      <c r="N742" s="50"/>
      <c r="O742" s="43"/>
      <c r="P742" s="43"/>
      <c r="Q742" s="44"/>
      <c r="R742" s="35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43"/>
      <c r="B743" s="40"/>
      <c r="C743" s="44"/>
      <c r="D743" s="45"/>
      <c r="E743" s="44"/>
      <c r="F743" s="43"/>
      <c r="G743" s="43"/>
      <c r="H743" s="43"/>
      <c r="I743" s="46"/>
      <c r="J743" s="47"/>
      <c r="K743" s="48"/>
      <c r="L743" s="49"/>
      <c r="M743" s="49"/>
      <c r="N743" s="50"/>
      <c r="O743" s="43"/>
      <c r="P743" s="43"/>
      <c r="Q743" s="44"/>
      <c r="R743" s="35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43"/>
      <c r="B744" s="40"/>
      <c r="C744" s="44"/>
      <c r="D744" s="45"/>
      <c r="E744" s="44"/>
      <c r="F744" s="43"/>
      <c r="G744" s="43"/>
      <c r="H744" s="43"/>
      <c r="I744" s="46"/>
      <c r="J744" s="47"/>
      <c r="K744" s="48"/>
      <c r="L744" s="49"/>
      <c r="M744" s="49"/>
      <c r="N744" s="50"/>
      <c r="O744" s="43"/>
      <c r="P744" s="43"/>
      <c r="Q744" s="44"/>
      <c r="R744" s="35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43"/>
      <c r="B745" s="40"/>
      <c r="C745" s="44"/>
      <c r="D745" s="45"/>
      <c r="E745" s="44"/>
      <c r="F745" s="43"/>
      <c r="G745" s="43"/>
      <c r="H745" s="43"/>
      <c r="I745" s="46"/>
      <c r="J745" s="47"/>
      <c r="K745" s="48"/>
      <c r="L745" s="49"/>
      <c r="M745" s="49"/>
      <c r="N745" s="50"/>
      <c r="O745" s="43"/>
      <c r="P745" s="43"/>
      <c r="Q745" s="44"/>
      <c r="R745" s="35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43"/>
      <c r="B746" s="40"/>
      <c r="C746" s="44"/>
      <c r="D746" s="45"/>
      <c r="E746" s="44"/>
      <c r="F746" s="43"/>
      <c r="G746" s="43"/>
      <c r="H746" s="43"/>
      <c r="I746" s="46"/>
      <c r="J746" s="47"/>
      <c r="K746" s="48"/>
      <c r="L746" s="49"/>
      <c r="M746" s="49"/>
      <c r="N746" s="50"/>
      <c r="O746" s="43"/>
      <c r="P746" s="43"/>
      <c r="Q746" s="44"/>
      <c r="R746" s="35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43"/>
      <c r="B747" s="40"/>
      <c r="C747" s="44"/>
      <c r="D747" s="45"/>
      <c r="E747" s="44"/>
      <c r="F747" s="43"/>
      <c r="G747" s="43"/>
      <c r="H747" s="43"/>
      <c r="I747" s="46"/>
      <c r="J747" s="47"/>
      <c r="K747" s="48"/>
      <c r="L747" s="49"/>
      <c r="M747" s="49"/>
      <c r="N747" s="50"/>
      <c r="O747" s="43"/>
      <c r="P747" s="43"/>
      <c r="Q747" s="44"/>
      <c r="R747" s="35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43"/>
      <c r="B748" s="40"/>
      <c r="C748" s="44"/>
      <c r="D748" s="45"/>
      <c r="E748" s="44"/>
      <c r="F748" s="43"/>
      <c r="G748" s="43"/>
      <c r="H748" s="43"/>
      <c r="I748" s="46"/>
      <c r="J748" s="47"/>
      <c r="K748" s="48"/>
      <c r="L748" s="49"/>
      <c r="M748" s="49"/>
      <c r="N748" s="50"/>
      <c r="O748" s="43"/>
      <c r="P748" s="43"/>
      <c r="Q748" s="44"/>
      <c r="R748" s="35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43"/>
      <c r="B749" s="40"/>
      <c r="C749" s="44"/>
      <c r="D749" s="45"/>
      <c r="E749" s="44"/>
      <c r="F749" s="43"/>
      <c r="G749" s="43"/>
      <c r="H749" s="43"/>
      <c r="I749" s="46"/>
      <c r="J749" s="47"/>
      <c r="K749" s="48"/>
      <c r="L749" s="49"/>
      <c r="M749" s="49"/>
      <c r="N749" s="50"/>
      <c r="O749" s="43"/>
      <c r="P749" s="43"/>
      <c r="Q749" s="44"/>
      <c r="R749" s="35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43"/>
      <c r="B750" s="40"/>
      <c r="C750" s="44"/>
      <c r="D750" s="45"/>
      <c r="E750" s="44"/>
      <c r="F750" s="43"/>
      <c r="G750" s="43"/>
      <c r="H750" s="43"/>
      <c r="I750" s="46"/>
      <c r="J750" s="47"/>
      <c r="K750" s="48"/>
      <c r="L750" s="49"/>
      <c r="M750" s="49"/>
      <c r="N750" s="50"/>
      <c r="O750" s="43"/>
      <c r="P750" s="43"/>
      <c r="Q750" s="44"/>
      <c r="R750" s="35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43"/>
      <c r="B751" s="40"/>
      <c r="C751" s="44"/>
      <c r="D751" s="45"/>
      <c r="E751" s="44"/>
      <c r="F751" s="43"/>
      <c r="G751" s="43"/>
      <c r="H751" s="43"/>
      <c r="I751" s="46"/>
      <c r="J751" s="47"/>
      <c r="K751" s="48"/>
      <c r="L751" s="49"/>
      <c r="M751" s="49"/>
      <c r="N751" s="50"/>
      <c r="O751" s="43"/>
      <c r="P751" s="43"/>
      <c r="Q751" s="44"/>
      <c r="R751" s="35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43"/>
      <c r="B752" s="40"/>
      <c r="C752" s="44"/>
      <c r="D752" s="45"/>
      <c r="E752" s="44"/>
      <c r="F752" s="43"/>
      <c r="G752" s="43"/>
      <c r="H752" s="43"/>
      <c r="I752" s="46"/>
      <c r="J752" s="47"/>
      <c r="K752" s="48"/>
      <c r="L752" s="49"/>
      <c r="M752" s="49"/>
      <c r="N752" s="50"/>
      <c r="O752" s="43"/>
      <c r="P752" s="43"/>
      <c r="Q752" s="44"/>
      <c r="R752" s="35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43"/>
      <c r="B753" s="40"/>
      <c r="C753" s="44"/>
      <c r="D753" s="45"/>
      <c r="E753" s="44"/>
      <c r="F753" s="43"/>
      <c r="G753" s="43"/>
      <c r="H753" s="43"/>
      <c r="I753" s="46"/>
      <c r="J753" s="47"/>
      <c r="K753" s="48"/>
      <c r="L753" s="49"/>
      <c r="M753" s="49"/>
      <c r="N753" s="50"/>
      <c r="O753" s="43"/>
      <c r="P753" s="43"/>
      <c r="Q753" s="44"/>
      <c r="R753" s="35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43"/>
      <c r="B754" s="40"/>
      <c r="C754" s="44"/>
      <c r="D754" s="45"/>
      <c r="E754" s="44"/>
      <c r="F754" s="43"/>
      <c r="G754" s="43"/>
      <c r="H754" s="43"/>
      <c r="I754" s="46"/>
      <c r="J754" s="47"/>
      <c r="K754" s="48"/>
      <c r="L754" s="49"/>
      <c r="M754" s="49"/>
      <c r="N754" s="50"/>
      <c r="O754" s="43"/>
      <c r="P754" s="43"/>
      <c r="Q754" s="44"/>
      <c r="R754" s="35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43"/>
      <c r="B755" s="40"/>
      <c r="C755" s="44"/>
      <c r="D755" s="45"/>
      <c r="E755" s="44"/>
      <c r="F755" s="43"/>
      <c r="G755" s="43"/>
      <c r="H755" s="43"/>
      <c r="I755" s="46"/>
      <c r="J755" s="47"/>
      <c r="K755" s="48"/>
      <c r="L755" s="49"/>
      <c r="M755" s="49"/>
      <c r="N755" s="50"/>
      <c r="O755" s="43"/>
      <c r="P755" s="43"/>
      <c r="Q755" s="44"/>
      <c r="R755" s="35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43"/>
      <c r="B756" s="40"/>
      <c r="C756" s="44"/>
      <c r="D756" s="45"/>
      <c r="E756" s="44"/>
      <c r="F756" s="43"/>
      <c r="G756" s="43"/>
      <c r="H756" s="43"/>
      <c r="I756" s="46"/>
      <c r="J756" s="47"/>
      <c r="K756" s="48"/>
      <c r="L756" s="49"/>
      <c r="M756" s="49"/>
      <c r="N756" s="50"/>
      <c r="O756" s="43"/>
      <c r="P756" s="43"/>
      <c r="Q756" s="44"/>
      <c r="R756" s="35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43"/>
      <c r="B757" s="40"/>
      <c r="C757" s="44"/>
      <c r="D757" s="45"/>
      <c r="E757" s="44"/>
      <c r="F757" s="43"/>
      <c r="G757" s="43"/>
      <c r="H757" s="43"/>
      <c r="I757" s="46"/>
      <c r="J757" s="47"/>
      <c r="K757" s="48"/>
      <c r="L757" s="49"/>
      <c r="M757" s="49"/>
      <c r="N757" s="50"/>
      <c r="O757" s="43"/>
      <c r="P757" s="43"/>
      <c r="Q757" s="44"/>
      <c r="R757" s="35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43"/>
      <c r="B758" s="40"/>
      <c r="C758" s="44"/>
      <c r="D758" s="45"/>
      <c r="E758" s="44"/>
      <c r="F758" s="43"/>
      <c r="G758" s="43"/>
      <c r="H758" s="43"/>
      <c r="I758" s="46"/>
      <c r="J758" s="47"/>
      <c r="K758" s="48"/>
      <c r="L758" s="49"/>
      <c r="M758" s="49"/>
      <c r="N758" s="50"/>
      <c r="O758" s="43"/>
      <c r="P758" s="43"/>
      <c r="Q758" s="44"/>
      <c r="R758" s="35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43"/>
      <c r="B759" s="40"/>
      <c r="C759" s="44"/>
      <c r="D759" s="45"/>
      <c r="E759" s="44"/>
      <c r="F759" s="43"/>
      <c r="G759" s="43"/>
      <c r="H759" s="43"/>
      <c r="I759" s="46"/>
      <c r="J759" s="47"/>
      <c r="K759" s="48"/>
      <c r="L759" s="49"/>
      <c r="M759" s="49"/>
      <c r="N759" s="50"/>
      <c r="O759" s="43"/>
      <c r="P759" s="43"/>
      <c r="Q759" s="44"/>
      <c r="R759" s="35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43"/>
      <c r="B760" s="40"/>
      <c r="C760" s="44"/>
      <c r="D760" s="45"/>
      <c r="E760" s="44"/>
      <c r="F760" s="43"/>
      <c r="G760" s="43"/>
      <c r="H760" s="43"/>
      <c r="I760" s="46"/>
      <c r="J760" s="47"/>
      <c r="K760" s="48"/>
      <c r="L760" s="49"/>
      <c r="M760" s="49"/>
      <c r="N760" s="50"/>
      <c r="O760" s="43"/>
      <c r="P760" s="43"/>
      <c r="Q760" s="44"/>
      <c r="R760" s="35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43"/>
      <c r="B761" s="40"/>
      <c r="C761" s="44"/>
      <c r="D761" s="45"/>
      <c r="E761" s="44"/>
      <c r="F761" s="43"/>
      <c r="G761" s="43"/>
      <c r="H761" s="43"/>
      <c r="I761" s="46"/>
      <c r="J761" s="47"/>
      <c r="K761" s="48"/>
      <c r="L761" s="49"/>
      <c r="M761" s="49"/>
      <c r="N761" s="50"/>
      <c r="O761" s="43"/>
      <c r="P761" s="43"/>
      <c r="Q761" s="44"/>
      <c r="R761" s="35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43"/>
      <c r="B762" s="40"/>
      <c r="C762" s="44"/>
      <c r="D762" s="45"/>
      <c r="E762" s="44"/>
      <c r="F762" s="43"/>
      <c r="G762" s="43"/>
      <c r="H762" s="43"/>
      <c r="I762" s="46"/>
      <c r="J762" s="47"/>
      <c r="K762" s="48"/>
      <c r="L762" s="49"/>
      <c r="M762" s="49"/>
      <c r="N762" s="50"/>
      <c r="O762" s="43"/>
      <c r="P762" s="43"/>
      <c r="Q762" s="44"/>
      <c r="R762" s="35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43"/>
      <c r="B763" s="40"/>
      <c r="C763" s="44"/>
      <c r="D763" s="45"/>
      <c r="E763" s="44"/>
      <c r="F763" s="43"/>
      <c r="G763" s="43"/>
      <c r="H763" s="43"/>
      <c r="I763" s="46"/>
      <c r="J763" s="47"/>
      <c r="K763" s="48"/>
      <c r="L763" s="49"/>
      <c r="M763" s="49"/>
      <c r="N763" s="50"/>
      <c r="O763" s="43"/>
      <c r="P763" s="43"/>
      <c r="Q763" s="44"/>
      <c r="R763" s="35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43"/>
      <c r="B764" s="40"/>
      <c r="C764" s="44"/>
      <c r="D764" s="45"/>
      <c r="E764" s="44"/>
      <c r="F764" s="43"/>
      <c r="G764" s="43"/>
      <c r="H764" s="43"/>
      <c r="I764" s="46"/>
      <c r="J764" s="47"/>
      <c r="K764" s="48"/>
      <c r="L764" s="49"/>
      <c r="M764" s="49"/>
      <c r="N764" s="50"/>
      <c r="O764" s="43"/>
      <c r="P764" s="43"/>
      <c r="Q764" s="44"/>
      <c r="R764" s="35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43"/>
      <c r="B765" s="40"/>
      <c r="C765" s="44"/>
      <c r="D765" s="45"/>
      <c r="E765" s="44"/>
      <c r="F765" s="43"/>
      <c r="G765" s="43"/>
      <c r="H765" s="43"/>
      <c r="I765" s="46"/>
      <c r="J765" s="47"/>
      <c r="K765" s="48"/>
      <c r="L765" s="49"/>
      <c r="M765" s="49"/>
      <c r="N765" s="50"/>
      <c r="O765" s="43"/>
      <c r="P765" s="43"/>
      <c r="Q765" s="44"/>
      <c r="R765" s="35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43"/>
      <c r="B766" s="40"/>
      <c r="C766" s="44"/>
      <c r="D766" s="45"/>
      <c r="E766" s="44"/>
      <c r="F766" s="43"/>
      <c r="G766" s="43"/>
      <c r="H766" s="43"/>
      <c r="I766" s="46"/>
      <c r="J766" s="47"/>
      <c r="K766" s="48"/>
      <c r="L766" s="49"/>
      <c r="M766" s="49"/>
      <c r="N766" s="50"/>
      <c r="O766" s="43"/>
      <c r="P766" s="43"/>
      <c r="Q766" s="44"/>
      <c r="R766" s="35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43"/>
      <c r="B767" s="40"/>
      <c r="C767" s="44"/>
      <c r="D767" s="45"/>
      <c r="E767" s="44"/>
      <c r="F767" s="43"/>
      <c r="G767" s="43"/>
      <c r="H767" s="43"/>
      <c r="I767" s="46"/>
      <c r="J767" s="47"/>
      <c r="K767" s="48"/>
      <c r="L767" s="49"/>
      <c r="M767" s="49"/>
      <c r="N767" s="50"/>
      <c r="O767" s="43"/>
      <c r="P767" s="43"/>
      <c r="Q767" s="44"/>
      <c r="R767" s="35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43"/>
      <c r="B768" s="40"/>
      <c r="C768" s="44"/>
      <c r="D768" s="45"/>
      <c r="E768" s="44"/>
      <c r="F768" s="43"/>
      <c r="G768" s="43"/>
      <c r="H768" s="43"/>
      <c r="I768" s="46"/>
      <c r="J768" s="47"/>
      <c r="K768" s="48"/>
      <c r="L768" s="49"/>
      <c r="M768" s="49"/>
      <c r="N768" s="50"/>
      <c r="O768" s="43"/>
      <c r="P768" s="43"/>
      <c r="Q768" s="44"/>
      <c r="R768" s="35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43"/>
      <c r="B769" s="40"/>
      <c r="C769" s="44"/>
      <c r="D769" s="45"/>
      <c r="E769" s="44"/>
      <c r="F769" s="43"/>
      <c r="G769" s="43"/>
      <c r="H769" s="43"/>
      <c r="I769" s="46"/>
      <c r="J769" s="47"/>
      <c r="K769" s="48"/>
      <c r="L769" s="49"/>
      <c r="M769" s="49"/>
      <c r="N769" s="50"/>
      <c r="O769" s="43"/>
      <c r="P769" s="43"/>
      <c r="Q769" s="44"/>
      <c r="R769" s="35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43"/>
      <c r="B770" s="40"/>
      <c r="C770" s="44"/>
      <c r="D770" s="45"/>
      <c r="E770" s="44"/>
      <c r="F770" s="43"/>
      <c r="G770" s="43"/>
      <c r="H770" s="43"/>
      <c r="I770" s="46"/>
      <c r="J770" s="47"/>
      <c r="K770" s="48"/>
      <c r="L770" s="49"/>
      <c r="M770" s="49"/>
      <c r="N770" s="50"/>
      <c r="O770" s="43"/>
      <c r="P770" s="43"/>
      <c r="Q770" s="44"/>
      <c r="R770" s="35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43"/>
      <c r="B771" s="40"/>
      <c r="C771" s="44"/>
      <c r="D771" s="45"/>
      <c r="E771" s="44"/>
      <c r="F771" s="43"/>
      <c r="G771" s="43"/>
      <c r="H771" s="43"/>
      <c r="I771" s="46"/>
      <c r="J771" s="47"/>
      <c r="K771" s="48"/>
      <c r="L771" s="49"/>
      <c r="M771" s="49"/>
      <c r="N771" s="50"/>
      <c r="O771" s="43"/>
      <c r="P771" s="43"/>
      <c r="Q771" s="44"/>
      <c r="R771" s="35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43"/>
      <c r="B772" s="40"/>
      <c r="C772" s="44"/>
      <c r="D772" s="45"/>
      <c r="E772" s="44"/>
      <c r="F772" s="43"/>
      <c r="G772" s="43"/>
      <c r="H772" s="43"/>
      <c r="I772" s="46"/>
      <c r="J772" s="47"/>
      <c r="K772" s="48"/>
      <c r="L772" s="49"/>
      <c r="M772" s="49"/>
      <c r="N772" s="50"/>
      <c r="O772" s="43"/>
      <c r="P772" s="43"/>
      <c r="Q772" s="44"/>
      <c r="R772" s="35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43"/>
      <c r="B773" s="40"/>
      <c r="C773" s="44"/>
      <c r="D773" s="45"/>
      <c r="E773" s="44"/>
      <c r="F773" s="43"/>
      <c r="G773" s="43"/>
      <c r="H773" s="43"/>
      <c r="I773" s="46"/>
      <c r="J773" s="47"/>
      <c r="K773" s="48"/>
      <c r="L773" s="49"/>
      <c r="M773" s="49"/>
      <c r="N773" s="50"/>
      <c r="O773" s="43"/>
      <c r="P773" s="43"/>
      <c r="Q773" s="44"/>
      <c r="R773" s="35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43"/>
      <c r="B774" s="40"/>
      <c r="C774" s="44"/>
      <c r="D774" s="45"/>
      <c r="E774" s="44"/>
      <c r="F774" s="43"/>
      <c r="G774" s="43"/>
      <c r="H774" s="43"/>
      <c r="I774" s="46"/>
      <c r="J774" s="47"/>
      <c r="K774" s="48"/>
      <c r="L774" s="49"/>
      <c r="M774" s="49"/>
      <c r="N774" s="50"/>
      <c r="O774" s="43"/>
      <c r="P774" s="43"/>
      <c r="Q774" s="44"/>
      <c r="R774" s="35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43"/>
      <c r="B775" s="40"/>
      <c r="C775" s="44"/>
      <c r="D775" s="45"/>
      <c r="E775" s="44"/>
      <c r="F775" s="43"/>
      <c r="G775" s="43"/>
      <c r="H775" s="43"/>
      <c r="I775" s="46"/>
      <c r="J775" s="47"/>
      <c r="K775" s="48"/>
      <c r="L775" s="49"/>
      <c r="M775" s="49"/>
      <c r="N775" s="50"/>
      <c r="O775" s="43"/>
      <c r="P775" s="43"/>
      <c r="Q775" s="44"/>
      <c r="R775" s="35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43"/>
      <c r="B776" s="40"/>
      <c r="C776" s="44"/>
      <c r="D776" s="45"/>
      <c r="E776" s="44"/>
      <c r="F776" s="43"/>
      <c r="G776" s="43"/>
      <c r="H776" s="43"/>
      <c r="I776" s="46"/>
      <c r="J776" s="47"/>
      <c r="K776" s="48"/>
      <c r="L776" s="49"/>
      <c r="M776" s="49"/>
      <c r="N776" s="50"/>
      <c r="O776" s="43"/>
      <c r="P776" s="43"/>
      <c r="Q776" s="44"/>
      <c r="R776" s="35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43"/>
      <c r="B777" s="40"/>
      <c r="C777" s="44"/>
      <c r="D777" s="45"/>
      <c r="E777" s="44"/>
      <c r="F777" s="43"/>
      <c r="G777" s="43"/>
      <c r="H777" s="43"/>
      <c r="I777" s="46"/>
      <c r="J777" s="47"/>
      <c r="K777" s="48"/>
      <c r="L777" s="49"/>
      <c r="M777" s="49"/>
      <c r="N777" s="50"/>
      <c r="O777" s="43"/>
      <c r="P777" s="43"/>
      <c r="Q777" s="44"/>
      <c r="R777" s="35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43"/>
      <c r="B778" s="40"/>
      <c r="C778" s="44"/>
      <c r="D778" s="45"/>
      <c r="E778" s="44"/>
      <c r="F778" s="43"/>
      <c r="G778" s="43"/>
      <c r="H778" s="43"/>
      <c r="I778" s="46"/>
      <c r="J778" s="47"/>
      <c r="K778" s="48"/>
      <c r="L778" s="49"/>
      <c r="M778" s="49"/>
      <c r="N778" s="50"/>
      <c r="O778" s="43"/>
      <c r="P778" s="43"/>
      <c r="Q778" s="44"/>
      <c r="R778" s="35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43"/>
      <c r="B779" s="40"/>
      <c r="C779" s="44"/>
      <c r="D779" s="45"/>
      <c r="E779" s="44"/>
      <c r="F779" s="43"/>
      <c r="G779" s="43"/>
      <c r="H779" s="43"/>
      <c r="I779" s="46"/>
      <c r="J779" s="47"/>
      <c r="K779" s="48"/>
      <c r="L779" s="49"/>
      <c r="M779" s="49"/>
      <c r="N779" s="50"/>
      <c r="O779" s="43"/>
      <c r="P779" s="43"/>
      <c r="Q779" s="44"/>
      <c r="R779" s="35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43"/>
      <c r="B780" s="40"/>
      <c r="C780" s="44"/>
      <c r="D780" s="45"/>
      <c r="E780" s="44"/>
      <c r="F780" s="43"/>
      <c r="G780" s="43"/>
      <c r="H780" s="43"/>
      <c r="I780" s="46"/>
      <c r="J780" s="47"/>
      <c r="K780" s="48"/>
      <c r="L780" s="49"/>
      <c r="M780" s="49"/>
      <c r="N780" s="50"/>
      <c r="O780" s="43"/>
      <c r="P780" s="43"/>
      <c r="Q780" s="44"/>
      <c r="R780" s="35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43"/>
      <c r="B781" s="40"/>
      <c r="C781" s="44"/>
      <c r="D781" s="45"/>
      <c r="E781" s="44"/>
      <c r="F781" s="43"/>
      <c r="G781" s="43"/>
      <c r="H781" s="43"/>
      <c r="I781" s="46"/>
      <c r="J781" s="47"/>
      <c r="K781" s="48"/>
      <c r="L781" s="49"/>
      <c r="M781" s="49"/>
      <c r="N781" s="50"/>
      <c r="O781" s="43"/>
      <c r="P781" s="43"/>
      <c r="Q781" s="44"/>
      <c r="R781" s="35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43"/>
      <c r="B782" s="40"/>
      <c r="C782" s="44"/>
      <c r="D782" s="45"/>
      <c r="E782" s="44"/>
      <c r="F782" s="43"/>
      <c r="G782" s="43"/>
      <c r="H782" s="43"/>
      <c r="I782" s="46"/>
      <c r="J782" s="47"/>
      <c r="K782" s="48"/>
      <c r="L782" s="49"/>
      <c r="M782" s="49"/>
      <c r="N782" s="50"/>
      <c r="O782" s="43"/>
      <c r="P782" s="43"/>
      <c r="Q782" s="44"/>
      <c r="R782" s="35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43"/>
      <c r="B783" s="40"/>
      <c r="C783" s="44"/>
      <c r="D783" s="45"/>
      <c r="E783" s="44"/>
      <c r="F783" s="43"/>
      <c r="G783" s="43"/>
      <c r="H783" s="43"/>
      <c r="I783" s="46"/>
      <c r="J783" s="47"/>
      <c r="K783" s="48"/>
      <c r="L783" s="49"/>
      <c r="M783" s="49"/>
      <c r="N783" s="50"/>
      <c r="O783" s="43"/>
      <c r="P783" s="43"/>
      <c r="Q783" s="44"/>
      <c r="R783" s="35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43"/>
      <c r="B784" s="40"/>
      <c r="C784" s="44"/>
      <c r="D784" s="45"/>
      <c r="E784" s="44"/>
      <c r="F784" s="43"/>
      <c r="G784" s="43"/>
      <c r="H784" s="43"/>
      <c r="I784" s="46"/>
      <c r="J784" s="47"/>
      <c r="K784" s="48"/>
      <c r="L784" s="49"/>
      <c r="M784" s="49"/>
      <c r="N784" s="50"/>
      <c r="O784" s="43"/>
      <c r="P784" s="43"/>
      <c r="Q784" s="44"/>
      <c r="R784" s="35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43"/>
      <c r="B785" s="40"/>
      <c r="C785" s="44"/>
      <c r="D785" s="45"/>
      <c r="E785" s="44"/>
      <c r="F785" s="43"/>
      <c r="G785" s="43"/>
      <c r="H785" s="43"/>
      <c r="I785" s="46"/>
      <c r="J785" s="47"/>
      <c r="K785" s="48"/>
      <c r="L785" s="49"/>
      <c r="M785" s="49"/>
      <c r="N785" s="50"/>
      <c r="O785" s="43"/>
      <c r="P785" s="43"/>
      <c r="Q785" s="44"/>
      <c r="R785" s="35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43"/>
      <c r="B786" s="40"/>
      <c r="C786" s="44"/>
      <c r="D786" s="45"/>
      <c r="E786" s="44"/>
      <c r="F786" s="43"/>
      <c r="G786" s="43"/>
      <c r="H786" s="43"/>
      <c r="I786" s="46"/>
      <c r="J786" s="47"/>
      <c r="K786" s="48"/>
      <c r="L786" s="49"/>
      <c r="M786" s="49"/>
      <c r="N786" s="50"/>
      <c r="O786" s="43"/>
      <c r="P786" s="43"/>
      <c r="Q786" s="44"/>
      <c r="R786" s="35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43"/>
      <c r="B787" s="40"/>
      <c r="C787" s="44"/>
      <c r="D787" s="45"/>
      <c r="E787" s="44"/>
      <c r="F787" s="43"/>
      <c r="G787" s="43"/>
      <c r="H787" s="43"/>
      <c r="I787" s="46"/>
      <c r="J787" s="47"/>
      <c r="K787" s="48"/>
      <c r="L787" s="49"/>
      <c r="M787" s="49"/>
      <c r="N787" s="50"/>
      <c r="O787" s="43"/>
      <c r="P787" s="43"/>
      <c r="Q787" s="44"/>
      <c r="R787" s="35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43"/>
      <c r="B788" s="40"/>
      <c r="C788" s="44"/>
      <c r="D788" s="45"/>
      <c r="E788" s="44"/>
      <c r="F788" s="43"/>
      <c r="G788" s="43"/>
      <c r="H788" s="43"/>
      <c r="I788" s="46"/>
      <c r="J788" s="47"/>
      <c r="K788" s="48"/>
      <c r="L788" s="49"/>
      <c r="M788" s="49"/>
      <c r="N788" s="50"/>
      <c r="O788" s="43"/>
      <c r="P788" s="43"/>
      <c r="Q788" s="44"/>
      <c r="R788" s="35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43"/>
      <c r="B789" s="40"/>
      <c r="C789" s="44"/>
      <c r="D789" s="45"/>
      <c r="E789" s="44"/>
      <c r="F789" s="43"/>
      <c r="G789" s="43"/>
      <c r="H789" s="43"/>
      <c r="I789" s="46"/>
      <c r="J789" s="47"/>
      <c r="K789" s="48"/>
      <c r="L789" s="49"/>
      <c r="M789" s="49"/>
      <c r="N789" s="50"/>
      <c r="O789" s="43"/>
      <c r="P789" s="43"/>
      <c r="Q789" s="44"/>
      <c r="R789" s="35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43"/>
      <c r="B790" s="40"/>
      <c r="C790" s="44"/>
      <c r="D790" s="45"/>
      <c r="E790" s="44"/>
      <c r="F790" s="43"/>
      <c r="G790" s="43"/>
      <c r="H790" s="43"/>
      <c r="I790" s="46"/>
      <c r="J790" s="47"/>
      <c r="K790" s="48"/>
      <c r="L790" s="49"/>
      <c r="M790" s="49"/>
      <c r="N790" s="50"/>
      <c r="O790" s="43"/>
      <c r="P790" s="43"/>
      <c r="Q790" s="44"/>
      <c r="R790" s="35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43"/>
      <c r="B791" s="40"/>
      <c r="C791" s="44"/>
      <c r="D791" s="45"/>
      <c r="E791" s="44"/>
      <c r="F791" s="43"/>
      <c r="G791" s="43"/>
      <c r="H791" s="43"/>
      <c r="I791" s="46"/>
      <c r="J791" s="47"/>
      <c r="K791" s="48"/>
      <c r="L791" s="49"/>
      <c r="M791" s="49"/>
      <c r="N791" s="50"/>
      <c r="O791" s="43"/>
      <c r="P791" s="43"/>
      <c r="Q791" s="44"/>
      <c r="R791" s="35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43"/>
      <c r="B792" s="40"/>
      <c r="C792" s="44"/>
      <c r="D792" s="45"/>
      <c r="E792" s="44"/>
      <c r="F792" s="43"/>
      <c r="G792" s="43"/>
      <c r="H792" s="43"/>
      <c r="I792" s="46"/>
      <c r="J792" s="47"/>
      <c r="K792" s="48"/>
      <c r="L792" s="49"/>
      <c r="M792" s="49"/>
      <c r="N792" s="50"/>
      <c r="O792" s="43"/>
      <c r="P792" s="43"/>
      <c r="Q792" s="44"/>
      <c r="R792" s="35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43"/>
      <c r="B793" s="40"/>
      <c r="C793" s="44"/>
      <c r="D793" s="45"/>
      <c r="E793" s="44"/>
      <c r="F793" s="43"/>
      <c r="G793" s="43"/>
      <c r="H793" s="43"/>
      <c r="I793" s="46"/>
      <c r="J793" s="47"/>
      <c r="K793" s="48"/>
      <c r="L793" s="49"/>
      <c r="M793" s="49"/>
      <c r="N793" s="50"/>
      <c r="O793" s="43"/>
      <c r="P793" s="43"/>
      <c r="Q793" s="44"/>
      <c r="R793" s="35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43"/>
      <c r="B794" s="40"/>
      <c r="C794" s="44"/>
      <c r="D794" s="45"/>
      <c r="E794" s="44"/>
      <c r="F794" s="43"/>
      <c r="G794" s="43"/>
      <c r="H794" s="43"/>
      <c r="I794" s="46"/>
      <c r="J794" s="47"/>
      <c r="K794" s="48"/>
      <c r="L794" s="49"/>
      <c r="M794" s="49"/>
      <c r="N794" s="50"/>
      <c r="O794" s="43"/>
      <c r="P794" s="43"/>
      <c r="Q794" s="44"/>
      <c r="R794" s="35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43"/>
      <c r="B795" s="40"/>
      <c r="C795" s="44"/>
      <c r="D795" s="45"/>
      <c r="E795" s="44"/>
      <c r="F795" s="43"/>
      <c r="G795" s="43"/>
      <c r="H795" s="43"/>
      <c r="I795" s="46"/>
      <c r="J795" s="47"/>
      <c r="K795" s="48"/>
      <c r="L795" s="49"/>
      <c r="M795" s="49"/>
      <c r="N795" s="50"/>
      <c r="O795" s="43"/>
      <c r="P795" s="43"/>
      <c r="Q795" s="44"/>
      <c r="R795" s="35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43"/>
      <c r="B796" s="40"/>
      <c r="C796" s="44"/>
      <c r="D796" s="45"/>
      <c r="E796" s="44"/>
      <c r="F796" s="43"/>
      <c r="G796" s="43"/>
      <c r="H796" s="43"/>
      <c r="I796" s="46"/>
      <c r="J796" s="47"/>
      <c r="K796" s="48"/>
      <c r="L796" s="49"/>
      <c r="M796" s="49"/>
      <c r="N796" s="50"/>
      <c r="O796" s="43"/>
      <c r="P796" s="43"/>
      <c r="Q796" s="44"/>
      <c r="R796" s="35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43"/>
      <c r="B797" s="40"/>
      <c r="C797" s="44"/>
      <c r="D797" s="45"/>
      <c r="E797" s="44"/>
      <c r="F797" s="43"/>
      <c r="G797" s="43"/>
      <c r="H797" s="43"/>
      <c r="I797" s="46"/>
      <c r="J797" s="47"/>
      <c r="K797" s="48"/>
      <c r="L797" s="49"/>
      <c r="M797" s="49"/>
      <c r="N797" s="50"/>
      <c r="O797" s="43"/>
      <c r="P797" s="43"/>
      <c r="Q797" s="44"/>
      <c r="R797" s="35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43"/>
      <c r="B798" s="40"/>
      <c r="C798" s="44"/>
      <c r="D798" s="45"/>
      <c r="E798" s="44"/>
      <c r="F798" s="43"/>
      <c r="G798" s="43"/>
      <c r="H798" s="43"/>
      <c r="I798" s="46"/>
      <c r="J798" s="47"/>
      <c r="K798" s="48"/>
      <c r="L798" s="49"/>
      <c r="M798" s="49"/>
      <c r="N798" s="50"/>
      <c r="O798" s="43"/>
      <c r="P798" s="43"/>
      <c r="Q798" s="44"/>
      <c r="R798" s="35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43"/>
      <c r="B799" s="40"/>
      <c r="C799" s="44"/>
      <c r="D799" s="45"/>
      <c r="E799" s="44"/>
      <c r="F799" s="43"/>
      <c r="G799" s="43"/>
      <c r="H799" s="43"/>
      <c r="I799" s="46"/>
      <c r="J799" s="47"/>
      <c r="K799" s="48"/>
      <c r="L799" s="49"/>
      <c r="M799" s="49"/>
      <c r="N799" s="50"/>
      <c r="O799" s="43"/>
      <c r="P799" s="43"/>
      <c r="Q799" s="44"/>
      <c r="R799" s="35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43"/>
      <c r="B800" s="40"/>
      <c r="C800" s="44"/>
      <c r="D800" s="45"/>
      <c r="E800" s="44"/>
      <c r="F800" s="43"/>
      <c r="G800" s="43"/>
      <c r="H800" s="43"/>
      <c r="I800" s="46"/>
      <c r="J800" s="47"/>
      <c r="K800" s="48"/>
      <c r="L800" s="49"/>
      <c r="M800" s="49"/>
      <c r="N800" s="50"/>
      <c r="O800" s="43"/>
      <c r="P800" s="43"/>
      <c r="Q800" s="44"/>
      <c r="R800" s="35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43"/>
      <c r="B801" s="40"/>
      <c r="C801" s="44"/>
      <c r="D801" s="45"/>
      <c r="E801" s="44"/>
      <c r="F801" s="43"/>
      <c r="G801" s="43"/>
      <c r="H801" s="43"/>
      <c r="I801" s="46"/>
      <c r="J801" s="47"/>
      <c r="K801" s="48"/>
      <c r="L801" s="49"/>
      <c r="M801" s="49"/>
      <c r="N801" s="50"/>
      <c r="O801" s="43"/>
      <c r="P801" s="43"/>
      <c r="Q801" s="44"/>
      <c r="R801" s="35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43"/>
      <c r="B802" s="40"/>
      <c r="C802" s="44"/>
      <c r="D802" s="45"/>
      <c r="E802" s="44"/>
      <c r="F802" s="43"/>
      <c r="G802" s="43"/>
      <c r="H802" s="43"/>
      <c r="I802" s="46"/>
      <c r="J802" s="47"/>
      <c r="K802" s="48"/>
      <c r="L802" s="49"/>
      <c r="M802" s="49"/>
      <c r="N802" s="50"/>
      <c r="O802" s="43"/>
      <c r="P802" s="43"/>
      <c r="Q802" s="44"/>
      <c r="R802" s="35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43"/>
      <c r="B803" s="40"/>
      <c r="C803" s="44"/>
      <c r="D803" s="45"/>
      <c r="E803" s="44"/>
      <c r="F803" s="43"/>
      <c r="G803" s="43"/>
      <c r="H803" s="43"/>
      <c r="I803" s="46"/>
      <c r="J803" s="47"/>
      <c r="K803" s="48"/>
      <c r="L803" s="49"/>
      <c r="M803" s="49"/>
      <c r="N803" s="50"/>
      <c r="O803" s="43"/>
      <c r="P803" s="43"/>
      <c r="Q803" s="44"/>
      <c r="R803" s="35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43"/>
      <c r="B804" s="40"/>
      <c r="C804" s="44"/>
      <c r="D804" s="45"/>
      <c r="E804" s="44"/>
      <c r="F804" s="43"/>
      <c r="G804" s="43"/>
      <c r="H804" s="43"/>
      <c r="I804" s="46"/>
      <c r="J804" s="47"/>
      <c r="K804" s="48"/>
      <c r="L804" s="49"/>
      <c r="M804" s="49"/>
      <c r="N804" s="50"/>
      <c r="O804" s="43"/>
      <c r="P804" s="43"/>
      <c r="Q804" s="44"/>
      <c r="R804" s="35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43"/>
      <c r="B805" s="40"/>
      <c r="C805" s="44"/>
      <c r="D805" s="45"/>
      <c r="E805" s="44"/>
      <c r="F805" s="43"/>
      <c r="G805" s="43"/>
      <c r="H805" s="43"/>
      <c r="I805" s="46"/>
      <c r="J805" s="47"/>
      <c r="K805" s="48"/>
      <c r="L805" s="49"/>
      <c r="M805" s="49"/>
      <c r="N805" s="50"/>
      <c r="O805" s="43"/>
      <c r="P805" s="43"/>
      <c r="Q805" s="44"/>
      <c r="R805" s="35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43"/>
      <c r="B806" s="40"/>
      <c r="C806" s="44"/>
      <c r="D806" s="45"/>
      <c r="E806" s="44"/>
      <c r="F806" s="43"/>
      <c r="G806" s="43"/>
      <c r="H806" s="43"/>
      <c r="I806" s="46"/>
      <c r="J806" s="47"/>
      <c r="K806" s="48"/>
      <c r="L806" s="49"/>
      <c r="M806" s="49"/>
      <c r="N806" s="50"/>
      <c r="O806" s="43"/>
      <c r="P806" s="43"/>
      <c r="Q806" s="44"/>
      <c r="R806" s="35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43"/>
      <c r="B807" s="40"/>
      <c r="C807" s="44"/>
      <c r="D807" s="45"/>
      <c r="E807" s="44"/>
      <c r="F807" s="43"/>
      <c r="G807" s="43"/>
      <c r="H807" s="43"/>
      <c r="I807" s="46"/>
      <c r="J807" s="47"/>
      <c r="K807" s="48"/>
      <c r="L807" s="49"/>
      <c r="M807" s="49"/>
      <c r="N807" s="50"/>
      <c r="O807" s="43"/>
      <c r="P807" s="43"/>
      <c r="Q807" s="44"/>
      <c r="R807" s="35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43"/>
      <c r="B808" s="40"/>
      <c r="C808" s="44"/>
      <c r="D808" s="45"/>
      <c r="E808" s="44"/>
      <c r="F808" s="43"/>
      <c r="G808" s="43"/>
      <c r="H808" s="43"/>
      <c r="I808" s="46"/>
      <c r="J808" s="47"/>
      <c r="K808" s="48"/>
      <c r="L808" s="49"/>
      <c r="M808" s="49"/>
      <c r="N808" s="50"/>
      <c r="O808" s="43"/>
      <c r="P808" s="43"/>
      <c r="Q808" s="44"/>
      <c r="R808" s="35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43"/>
      <c r="B809" s="40"/>
      <c r="C809" s="44"/>
      <c r="D809" s="45"/>
      <c r="E809" s="44"/>
      <c r="F809" s="43"/>
      <c r="G809" s="43"/>
      <c r="H809" s="43"/>
      <c r="I809" s="46"/>
      <c r="J809" s="47"/>
      <c r="K809" s="48"/>
      <c r="L809" s="49"/>
      <c r="M809" s="49"/>
      <c r="N809" s="50"/>
      <c r="O809" s="43"/>
      <c r="P809" s="43"/>
      <c r="Q809" s="44"/>
      <c r="R809" s="35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43"/>
      <c r="B810" s="40"/>
      <c r="C810" s="44"/>
      <c r="D810" s="45"/>
      <c r="E810" s="44"/>
      <c r="F810" s="43"/>
      <c r="G810" s="43"/>
      <c r="H810" s="43"/>
      <c r="I810" s="46"/>
      <c r="J810" s="47"/>
      <c r="K810" s="48"/>
      <c r="L810" s="49"/>
      <c r="M810" s="49"/>
      <c r="N810" s="50"/>
      <c r="O810" s="43"/>
      <c r="P810" s="43"/>
      <c r="Q810" s="44"/>
      <c r="R810" s="35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43"/>
      <c r="B811" s="40"/>
      <c r="C811" s="44"/>
      <c r="D811" s="45"/>
      <c r="E811" s="44"/>
      <c r="F811" s="43"/>
      <c r="G811" s="43"/>
      <c r="H811" s="43"/>
      <c r="I811" s="46"/>
      <c r="J811" s="47"/>
      <c r="K811" s="48"/>
      <c r="L811" s="49"/>
      <c r="M811" s="49"/>
      <c r="N811" s="50"/>
      <c r="O811" s="43"/>
      <c r="P811" s="43"/>
      <c r="Q811" s="44"/>
      <c r="R811" s="35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43"/>
      <c r="B812" s="40"/>
      <c r="C812" s="44"/>
      <c r="D812" s="45"/>
      <c r="E812" s="44"/>
      <c r="F812" s="43"/>
      <c r="G812" s="43"/>
      <c r="H812" s="43"/>
      <c r="I812" s="46"/>
      <c r="J812" s="47"/>
      <c r="K812" s="48"/>
      <c r="L812" s="49"/>
      <c r="M812" s="49"/>
      <c r="N812" s="50"/>
      <c r="O812" s="43"/>
      <c r="P812" s="43"/>
      <c r="Q812" s="44"/>
      <c r="R812" s="35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43"/>
      <c r="B813" s="40"/>
      <c r="C813" s="44"/>
      <c r="D813" s="45"/>
      <c r="E813" s="44"/>
      <c r="F813" s="43"/>
      <c r="G813" s="43"/>
      <c r="H813" s="43"/>
      <c r="I813" s="46"/>
      <c r="J813" s="47"/>
      <c r="K813" s="48"/>
      <c r="L813" s="49"/>
      <c r="M813" s="49"/>
      <c r="N813" s="50"/>
      <c r="O813" s="43"/>
      <c r="P813" s="43"/>
      <c r="Q813" s="44"/>
      <c r="R813" s="35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43"/>
      <c r="B814" s="40"/>
      <c r="C814" s="44"/>
      <c r="D814" s="45"/>
      <c r="E814" s="44"/>
      <c r="F814" s="43"/>
      <c r="G814" s="43"/>
      <c r="H814" s="43"/>
      <c r="I814" s="46"/>
      <c r="J814" s="47"/>
      <c r="K814" s="48"/>
      <c r="L814" s="49"/>
      <c r="M814" s="49"/>
      <c r="N814" s="50"/>
      <c r="O814" s="43"/>
      <c r="P814" s="43"/>
      <c r="Q814" s="44"/>
      <c r="R814" s="35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43"/>
      <c r="B815" s="40"/>
      <c r="C815" s="44"/>
      <c r="D815" s="45"/>
      <c r="E815" s="44"/>
      <c r="F815" s="43"/>
      <c r="G815" s="43"/>
      <c r="H815" s="43"/>
      <c r="I815" s="46"/>
      <c r="J815" s="47"/>
      <c r="K815" s="48"/>
      <c r="L815" s="49"/>
      <c r="M815" s="49"/>
      <c r="N815" s="50"/>
      <c r="O815" s="43"/>
      <c r="P815" s="43"/>
      <c r="Q815" s="44"/>
      <c r="R815" s="35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43"/>
      <c r="B816" s="40"/>
      <c r="C816" s="44"/>
      <c r="D816" s="45"/>
      <c r="E816" s="44"/>
      <c r="F816" s="43"/>
      <c r="G816" s="43"/>
      <c r="H816" s="43"/>
      <c r="I816" s="46"/>
      <c r="J816" s="47"/>
      <c r="K816" s="48"/>
      <c r="L816" s="49"/>
      <c r="M816" s="49"/>
      <c r="N816" s="50"/>
      <c r="O816" s="43"/>
      <c r="P816" s="43"/>
      <c r="Q816" s="44"/>
      <c r="R816" s="35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43"/>
      <c r="B817" s="40"/>
      <c r="C817" s="44"/>
      <c r="D817" s="45"/>
      <c r="E817" s="44"/>
      <c r="F817" s="43"/>
      <c r="G817" s="43"/>
      <c r="H817" s="43"/>
      <c r="I817" s="46"/>
      <c r="J817" s="47"/>
      <c r="K817" s="48"/>
      <c r="L817" s="49"/>
      <c r="M817" s="49"/>
      <c r="N817" s="50"/>
      <c r="O817" s="43"/>
      <c r="P817" s="43"/>
      <c r="Q817" s="44"/>
      <c r="R817" s="35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43"/>
      <c r="B818" s="40"/>
      <c r="C818" s="44"/>
      <c r="D818" s="45"/>
      <c r="E818" s="44"/>
      <c r="F818" s="43"/>
      <c r="G818" s="43"/>
      <c r="H818" s="43"/>
      <c r="I818" s="46"/>
      <c r="J818" s="47"/>
      <c r="K818" s="48"/>
      <c r="L818" s="49"/>
      <c r="M818" s="49"/>
      <c r="N818" s="50"/>
      <c r="O818" s="43"/>
      <c r="P818" s="43"/>
      <c r="Q818" s="44"/>
      <c r="R818" s="35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43"/>
      <c r="B819" s="40"/>
      <c r="C819" s="44"/>
      <c r="D819" s="45"/>
      <c r="E819" s="44"/>
      <c r="F819" s="43"/>
      <c r="G819" s="43"/>
      <c r="H819" s="43"/>
      <c r="I819" s="46"/>
      <c r="J819" s="47"/>
      <c r="K819" s="48"/>
      <c r="L819" s="49"/>
      <c r="M819" s="49"/>
      <c r="N819" s="50"/>
      <c r="O819" s="43"/>
      <c r="P819" s="43"/>
      <c r="Q819" s="44"/>
      <c r="R819" s="35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43"/>
      <c r="B820" s="40"/>
      <c r="C820" s="44"/>
      <c r="D820" s="45"/>
      <c r="E820" s="44"/>
      <c r="F820" s="43"/>
      <c r="G820" s="43"/>
      <c r="H820" s="43"/>
      <c r="I820" s="46"/>
      <c r="J820" s="47"/>
      <c r="K820" s="48"/>
      <c r="L820" s="49"/>
      <c r="M820" s="49"/>
      <c r="N820" s="50"/>
      <c r="O820" s="43"/>
      <c r="P820" s="43"/>
      <c r="Q820" s="44"/>
      <c r="R820" s="35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43"/>
      <c r="B821" s="40"/>
      <c r="C821" s="44"/>
      <c r="D821" s="45"/>
      <c r="E821" s="44"/>
      <c r="F821" s="43"/>
      <c r="G821" s="43"/>
      <c r="H821" s="43"/>
      <c r="I821" s="46"/>
      <c r="J821" s="47"/>
      <c r="K821" s="48"/>
      <c r="L821" s="49"/>
      <c r="M821" s="49"/>
      <c r="N821" s="50"/>
      <c r="O821" s="43"/>
      <c r="P821" s="43"/>
      <c r="Q821" s="44"/>
      <c r="R821" s="35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43"/>
      <c r="B822" s="40"/>
      <c r="C822" s="44"/>
      <c r="D822" s="45"/>
      <c r="E822" s="44"/>
      <c r="F822" s="43"/>
      <c r="G822" s="43"/>
      <c r="H822" s="43"/>
      <c r="I822" s="46"/>
      <c r="J822" s="47"/>
      <c r="K822" s="48"/>
      <c r="L822" s="49"/>
      <c r="M822" s="49"/>
      <c r="N822" s="50"/>
      <c r="O822" s="43"/>
      <c r="P822" s="43"/>
      <c r="Q822" s="44"/>
      <c r="R822" s="35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43"/>
      <c r="B823" s="40"/>
      <c r="C823" s="44"/>
      <c r="D823" s="45"/>
      <c r="E823" s="44"/>
      <c r="F823" s="43"/>
      <c r="G823" s="43"/>
      <c r="H823" s="43"/>
      <c r="I823" s="46"/>
      <c r="J823" s="47"/>
      <c r="K823" s="48"/>
      <c r="L823" s="49"/>
      <c r="M823" s="49"/>
      <c r="N823" s="50"/>
      <c r="O823" s="43"/>
      <c r="P823" s="43"/>
      <c r="Q823" s="44"/>
      <c r="R823" s="35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43"/>
      <c r="B824" s="40"/>
      <c r="C824" s="44"/>
      <c r="D824" s="45"/>
      <c r="E824" s="44"/>
      <c r="F824" s="43"/>
      <c r="G824" s="43"/>
      <c r="H824" s="43"/>
      <c r="I824" s="46"/>
      <c r="J824" s="47"/>
      <c r="K824" s="48"/>
      <c r="L824" s="49"/>
      <c r="M824" s="49"/>
      <c r="N824" s="50"/>
      <c r="O824" s="43"/>
      <c r="P824" s="43"/>
      <c r="Q824" s="44"/>
      <c r="R824" s="35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43"/>
      <c r="B825" s="40"/>
      <c r="C825" s="44"/>
      <c r="D825" s="45"/>
      <c r="E825" s="44"/>
      <c r="F825" s="43"/>
      <c r="G825" s="43"/>
      <c r="H825" s="43"/>
      <c r="I825" s="46"/>
      <c r="J825" s="47"/>
      <c r="K825" s="48"/>
      <c r="L825" s="49"/>
      <c r="M825" s="49"/>
      <c r="N825" s="50"/>
      <c r="O825" s="43"/>
      <c r="P825" s="43"/>
      <c r="Q825" s="44"/>
      <c r="R825" s="35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43"/>
      <c r="B826" s="40"/>
      <c r="C826" s="44"/>
      <c r="D826" s="45"/>
      <c r="E826" s="44"/>
      <c r="F826" s="43"/>
      <c r="G826" s="43"/>
      <c r="H826" s="43"/>
      <c r="I826" s="46"/>
      <c r="J826" s="47"/>
      <c r="K826" s="48"/>
      <c r="L826" s="49"/>
      <c r="M826" s="49"/>
      <c r="N826" s="50"/>
      <c r="O826" s="43"/>
      <c r="P826" s="43"/>
      <c r="Q826" s="44"/>
      <c r="R826" s="35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43"/>
      <c r="B827" s="40"/>
      <c r="C827" s="44"/>
      <c r="D827" s="45"/>
      <c r="E827" s="44"/>
      <c r="F827" s="43"/>
      <c r="G827" s="43"/>
      <c r="H827" s="43"/>
      <c r="I827" s="46"/>
      <c r="J827" s="47"/>
      <c r="K827" s="48"/>
      <c r="L827" s="49"/>
      <c r="M827" s="49"/>
      <c r="N827" s="50"/>
      <c r="O827" s="43"/>
      <c r="P827" s="43"/>
      <c r="Q827" s="44"/>
      <c r="R827" s="35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43"/>
      <c r="B828" s="40"/>
      <c r="C828" s="44"/>
      <c r="D828" s="45"/>
      <c r="E828" s="44"/>
      <c r="F828" s="43"/>
      <c r="G828" s="43"/>
      <c r="H828" s="43"/>
      <c r="I828" s="46"/>
      <c r="J828" s="47"/>
      <c r="K828" s="48"/>
      <c r="L828" s="49"/>
      <c r="M828" s="49"/>
      <c r="N828" s="50"/>
      <c r="O828" s="43"/>
      <c r="P828" s="43"/>
      <c r="Q828" s="44"/>
      <c r="R828" s="35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43"/>
      <c r="B829" s="40"/>
      <c r="C829" s="44"/>
      <c r="D829" s="45"/>
      <c r="E829" s="44"/>
      <c r="F829" s="43"/>
      <c r="G829" s="43"/>
      <c r="H829" s="43"/>
      <c r="I829" s="46"/>
      <c r="J829" s="47"/>
      <c r="K829" s="48"/>
      <c r="L829" s="49"/>
      <c r="M829" s="49"/>
      <c r="N829" s="50"/>
      <c r="O829" s="43"/>
      <c r="P829" s="43"/>
      <c r="Q829" s="44"/>
      <c r="R829" s="35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43"/>
      <c r="B830" s="40"/>
      <c r="C830" s="44"/>
      <c r="D830" s="45"/>
      <c r="E830" s="44"/>
      <c r="F830" s="43"/>
      <c r="G830" s="43"/>
      <c r="H830" s="43"/>
      <c r="I830" s="46"/>
      <c r="J830" s="47"/>
      <c r="K830" s="48"/>
      <c r="L830" s="49"/>
      <c r="M830" s="49"/>
      <c r="N830" s="50"/>
      <c r="O830" s="43"/>
      <c r="P830" s="43"/>
      <c r="Q830" s="44"/>
      <c r="R830" s="35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43"/>
      <c r="B831" s="40"/>
      <c r="C831" s="44"/>
      <c r="D831" s="45"/>
      <c r="E831" s="44"/>
      <c r="F831" s="43"/>
      <c r="G831" s="43"/>
      <c r="H831" s="43"/>
      <c r="I831" s="46"/>
      <c r="J831" s="47"/>
      <c r="K831" s="48"/>
      <c r="L831" s="49"/>
      <c r="M831" s="49"/>
      <c r="N831" s="50"/>
      <c r="O831" s="43"/>
      <c r="P831" s="43"/>
      <c r="Q831" s="44"/>
      <c r="R831" s="35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43"/>
      <c r="B832" s="40"/>
      <c r="C832" s="44"/>
      <c r="D832" s="45"/>
      <c r="E832" s="44"/>
      <c r="F832" s="43"/>
      <c r="G832" s="43"/>
      <c r="H832" s="43"/>
      <c r="I832" s="46"/>
      <c r="J832" s="47"/>
      <c r="K832" s="48"/>
      <c r="L832" s="49"/>
      <c r="M832" s="49"/>
      <c r="N832" s="50"/>
      <c r="O832" s="43"/>
      <c r="P832" s="43"/>
      <c r="Q832" s="44"/>
      <c r="R832" s="35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43"/>
      <c r="B833" s="40"/>
      <c r="C833" s="44"/>
      <c r="D833" s="45"/>
      <c r="E833" s="44"/>
      <c r="F833" s="43"/>
      <c r="G833" s="43"/>
      <c r="H833" s="43"/>
      <c r="I833" s="46"/>
      <c r="J833" s="47"/>
      <c r="K833" s="48"/>
      <c r="L833" s="49"/>
      <c r="M833" s="49"/>
      <c r="N833" s="50"/>
      <c r="O833" s="43"/>
      <c r="P833" s="43"/>
      <c r="Q833" s="44"/>
      <c r="R833" s="35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43"/>
      <c r="B834" s="40"/>
      <c r="C834" s="44"/>
      <c r="D834" s="45"/>
      <c r="E834" s="44"/>
      <c r="F834" s="43"/>
      <c r="G834" s="43"/>
      <c r="H834" s="43"/>
      <c r="I834" s="46"/>
      <c r="J834" s="47"/>
      <c r="K834" s="48"/>
      <c r="L834" s="49"/>
      <c r="M834" s="49"/>
      <c r="N834" s="50"/>
      <c r="O834" s="43"/>
      <c r="P834" s="43"/>
      <c r="Q834" s="44"/>
      <c r="R834" s="35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43"/>
      <c r="B835" s="40"/>
      <c r="C835" s="44"/>
      <c r="D835" s="45"/>
      <c r="E835" s="44"/>
      <c r="F835" s="43"/>
      <c r="G835" s="43"/>
      <c r="H835" s="43"/>
      <c r="I835" s="46"/>
      <c r="J835" s="47"/>
      <c r="K835" s="48"/>
      <c r="L835" s="49"/>
      <c r="M835" s="49"/>
      <c r="N835" s="50"/>
      <c r="O835" s="43"/>
      <c r="P835" s="43"/>
      <c r="Q835" s="44"/>
      <c r="R835" s="35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43"/>
      <c r="B836" s="40"/>
      <c r="C836" s="44"/>
      <c r="D836" s="45"/>
      <c r="E836" s="44"/>
      <c r="F836" s="43"/>
      <c r="G836" s="43"/>
      <c r="H836" s="43"/>
      <c r="I836" s="46"/>
      <c r="J836" s="47"/>
      <c r="K836" s="48"/>
      <c r="L836" s="49"/>
      <c r="M836" s="49"/>
      <c r="N836" s="50"/>
      <c r="O836" s="43"/>
      <c r="P836" s="43"/>
      <c r="Q836" s="44"/>
      <c r="R836" s="35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43"/>
      <c r="B837" s="40"/>
      <c r="C837" s="44"/>
      <c r="D837" s="45"/>
      <c r="E837" s="44"/>
      <c r="F837" s="43"/>
      <c r="G837" s="43"/>
      <c r="H837" s="43"/>
      <c r="I837" s="46"/>
      <c r="J837" s="47"/>
      <c r="K837" s="48"/>
      <c r="L837" s="49"/>
      <c r="M837" s="49"/>
      <c r="N837" s="50"/>
      <c r="O837" s="43"/>
      <c r="P837" s="43"/>
      <c r="Q837" s="44"/>
      <c r="R837" s="35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43"/>
      <c r="B838" s="40"/>
      <c r="C838" s="44"/>
      <c r="D838" s="45"/>
      <c r="E838" s="44"/>
      <c r="F838" s="43"/>
      <c r="G838" s="43"/>
      <c r="H838" s="43"/>
      <c r="I838" s="46"/>
      <c r="J838" s="47"/>
      <c r="K838" s="48"/>
      <c r="L838" s="49"/>
      <c r="M838" s="49"/>
      <c r="N838" s="50"/>
      <c r="O838" s="43"/>
      <c r="P838" s="43"/>
      <c r="Q838" s="44"/>
      <c r="R838" s="35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43"/>
      <c r="B839" s="40"/>
      <c r="C839" s="44"/>
      <c r="D839" s="45"/>
      <c r="E839" s="44"/>
      <c r="F839" s="43"/>
      <c r="G839" s="43"/>
      <c r="H839" s="43"/>
      <c r="I839" s="46"/>
      <c r="J839" s="47"/>
      <c r="K839" s="48"/>
      <c r="L839" s="49"/>
      <c r="M839" s="49"/>
      <c r="N839" s="50"/>
      <c r="O839" s="43"/>
      <c r="P839" s="43"/>
      <c r="Q839" s="44"/>
      <c r="R839" s="35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43"/>
      <c r="B840" s="40"/>
      <c r="C840" s="44"/>
      <c r="D840" s="45"/>
      <c r="E840" s="44"/>
      <c r="F840" s="43"/>
      <c r="G840" s="43"/>
      <c r="H840" s="43"/>
      <c r="I840" s="46"/>
      <c r="J840" s="47"/>
      <c r="K840" s="48"/>
      <c r="L840" s="49"/>
      <c r="M840" s="49"/>
      <c r="N840" s="50"/>
      <c r="O840" s="43"/>
      <c r="P840" s="43"/>
      <c r="Q840" s="44"/>
      <c r="R840" s="35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43"/>
      <c r="B841" s="40"/>
      <c r="C841" s="44"/>
      <c r="D841" s="45"/>
      <c r="E841" s="44"/>
      <c r="F841" s="43"/>
      <c r="G841" s="43"/>
      <c r="H841" s="43"/>
      <c r="I841" s="46"/>
      <c r="J841" s="47"/>
      <c r="K841" s="48"/>
      <c r="L841" s="49"/>
      <c r="M841" s="49"/>
      <c r="N841" s="50"/>
      <c r="O841" s="43"/>
      <c r="P841" s="43"/>
      <c r="Q841" s="44"/>
      <c r="R841" s="35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43"/>
      <c r="B842" s="40"/>
      <c r="C842" s="44"/>
      <c r="D842" s="45"/>
      <c r="E842" s="44"/>
      <c r="F842" s="43"/>
      <c r="G842" s="43"/>
      <c r="H842" s="43"/>
      <c r="I842" s="46"/>
      <c r="J842" s="47"/>
      <c r="K842" s="48"/>
      <c r="L842" s="49"/>
      <c r="M842" s="49"/>
      <c r="N842" s="50"/>
      <c r="O842" s="43"/>
      <c r="P842" s="43"/>
      <c r="Q842" s="44"/>
      <c r="R842" s="35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43"/>
      <c r="B843" s="40"/>
      <c r="C843" s="44"/>
      <c r="D843" s="45"/>
      <c r="E843" s="44"/>
      <c r="F843" s="43"/>
      <c r="G843" s="43"/>
      <c r="H843" s="43"/>
      <c r="I843" s="46"/>
      <c r="J843" s="47"/>
      <c r="K843" s="48"/>
      <c r="L843" s="49"/>
      <c r="M843" s="49"/>
      <c r="N843" s="50"/>
      <c r="O843" s="43"/>
      <c r="P843" s="43"/>
      <c r="Q843" s="44"/>
      <c r="R843" s="35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43"/>
      <c r="B844" s="40"/>
      <c r="C844" s="44"/>
      <c r="D844" s="45"/>
      <c r="E844" s="44"/>
      <c r="F844" s="43"/>
      <c r="G844" s="43"/>
      <c r="H844" s="43"/>
      <c r="I844" s="46"/>
      <c r="J844" s="47"/>
      <c r="K844" s="48"/>
      <c r="L844" s="49"/>
      <c r="M844" s="49"/>
      <c r="N844" s="50"/>
      <c r="O844" s="43"/>
      <c r="P844" s="43"/>
      <c r="Q844" s="44"/>
      <c r="R844" s="35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43"/>
      <c r="B845" s="40"/>
      <c r="C845" s="44"/>
      <c r="D845" s="45"/>
      <c r="E845" s="44"/>
      <c r="F845" s="43"/>
      <c r="G845" s="43"/>
      <c r="H845" s="43"/>
      <c r="I845" s="46"/>
      <c r="J845" s="47"/>
      <c r="K845" s="48"/>
      <c r="L845" s="49"/>
      <c r="M845" s="49"/>
      <c r="N845" s="50"/>
      <c r="O845" s="43"/>
      <c r="P845" s="43"/>
      <c r="Q845" s="44"/>
      <c r="R845" s="35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43"/>
      <c r="B846" s="40"/>
      <c r="C846" s="44"/>
      <c r="D846" s="45"/>
      <c r="E846" s="44"/>
      <c r="F846" s="43"/>
      <c r="G846" s="43"/>
      <c r="H846" s="43"/>
      <c r="I846" s="46"/>
      <c r="J846" s="47"/>
      <c r="K846" s="48"/>
      <c r="L846" s="49"/>
      <c r="M846" s="49"/>
      <c r="N846" s="50"/>
      <c r="O846" s="43"/>
      <c r="P846" s="43"/>
      <c r="Q846" s="44"/>
      <c r="R846" s="35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43"/>
      <c r="B847" s="40"/>
      <c r="C847" s="44"/>
      <c r="D847" s="45"/>
      <c r="E847" s="44"/>
      <c r="F847" s="43"/>
      <c r="G847" s="43"/>
      <c r="H847" s="43"/>
      <c r="I847" s="46"/>
      <c r="J847" s="47"/>
      <c r="K847" s="48"/>
      <c r="L847" s="49"/>
      <c r="M847" s="49"/>
      <c r="N847" s="50"/>
      <c r="O847" s="43"/>
      <c r="P847" s="43"/>
      <c r="Q847" s="44"/>
      <c r="R847" s="35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43"/>
      <c r="B848" s="40"/>
      <c r="C848" s="44"/>
      <c r="D848" s="45"/>
      <c r="E848" s="44"/>
      <c r="F848" s="43"/>
      <c r="G848" s="43"/>
      <c r="H848" s="43"/>
      <c r="I848" s="46"/>
      <c r="J848" s="47"/>
      <c r="K848" s="48"/>
      <c r="L848" s="49"/>
      <c r="M848" s="49"/>
      <c r="N848" s="50"/>
      <c r="O848" s="43"/>
      <c r="P848" s="43"/>
      <c r="Q848" s="44"/>
      <c r="R848" s="35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43"/>
      <c r="B849" s="40"/>
      <c r="C849" s="44"/>
      <c r="D849" s="45"/>
      <c r="E849" s="44"/>
      <c r="F849" s="43"/>
      <c r="G849" s="43"/>
      <c r="H849" s="43"/>
      <c r="I849" s="46"/>
      <c r="J849" s="47"/>
      <c r="K849" s="48"/>
      <c r="L849" s="49"/>
      <c r="M849" s="49"/>
      <c r="N849" s="50"/>
      <c r="O849" s="43"/>
      <c r="P849" s="43"/>
      <c r="Q849" s="44"/>
      <c r="R849" s="35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43"/>
      <c r="B850" s="40"/>
      <c r="C850" s="44"/>
      <c r="D850" s="45"/>
      <c r="E850" s="44"/>
      <c r="F850" s="43"/>
      <c r="G850" s="43"/>
      <c r="H850" s="43"/>
      <c r="I850" s="46"/>
      <c r="J850" s="47"/>
      <c r="K850" s="48"/>
      <c r="L850" s="49"/>
      <c r="M850" s="49"/>
      <c r="N850" s="50"/>
      <c r="O850" s="43"/>
      <c r="P850" s="43"/>
      <c r="Q850" s="44"/>
      <c r="R850" s="35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43"/>
      <c r="B851" s="40"/>
      <c r="C851" s="44"/>
      <c r="D851" s="45"/>
      <c r="E851" s="44"/>
      <c r="F851" s="43"/>
      <c r="G851" s="43"/>
      <c r="H851" s="43"/>
      <c r="I851" s="46"/>
      <c r="J851" s="47"/>
      <c r="K851" s="48"/>
      <c r="L851" s="49"/>
      <c r="M851" s="49"/>
      <c r="N851" s="50"/>
      <c r="O851" s="43"/>
      <c r="P851" s="43"/>
      <c r="Q851" s="44"/>
      <c r="R851" s="35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43"/>
      <c r="B852" s="40"/>
      <c r="C852" s="44"/>
      <c r="D852" s="45"/>
      <c r="E852" s="44"/>
      <c r="F852" s="43"/>
      <c r="G852" s="43"/>
      <c r="H852" s="43"/>
      <c r="I852" s="46"/>
      <c r="J852" s="47"/>
      <c r="K852" s="48"/>
      <c r="L852" s="49"/>
      <c r="M852" s="49"/>
      <c r="N852" s="50"/>
      <c r="O852" s="43"/>
      <c r="P852" s="43"/>
      <c r="Q852" s="44"/>
      <c r="R852" s="35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43"/>
      <c r="B853" s="40"/>
      <c r="C853" s="44"/>
      <c r="D853" s="45"/>
      <c r="E853" s="44"/>
      <c r="F853" s="43"/>
      <c r="G853" s="43"/>
      <c r="H853" s="43"/>
      <c r="I853" s="46"/>
      <c r="J853" s="47"/>
      <c r="K853" s="48"/>
      <c r="L853" s="49"/>
      <c r="M853" s="49"/>
      <c r="N853" s="50"/>
      <c r="O853" s="43"/>
      <c r="P853" s="43"/>
      <c r="Q853" s="44"/>
      <c r="R853" s="35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43"/>
      <c r="B854" s="40"/>
      <c r="C854" s="44"/>
      <c r="D854" s="45"/>
      <c r="E854" s="44"/>
      <c r="F854" s="43"/>
      <c r="G854" s="43"/>
      <c r="H854" s="43"/>
      <c r="I854" s="46"/>
      <c r="J854" s="47"/>
      <c r="K854" s="48"/>
      <c r="L854" s="49"/>
      <c r="M854" s="49"/>
      <c r="N854" s="50"/>
      <c r="O854" s="43"/>
      <c r="P854" s="43"/>
      <c r="Q854" s="44"/>
      <c r="R854" s="35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43"/>
      <c r="B855" s="40"/>
      <c r="C855" s="44"/>
      <c r="D855" s="45"/>
      <c r="E855" s="44"/>
      <c r="F855" s="43"/>
      <c r="G855" s="43"/>
      <c r="H855" s="43"/>
      <c r="I855" s="46"/>
      <c r="J855" s="47"/>
      <c r="K855" s="48"/>
      <c r="L855" s="49"/>
      <c r="M855" s="49"/>
      <c r="N855" s="50"/>
      <c r="O855" s="43"/>
      <c r="P855" s="43"/>
      <c r="Q855" s="44"/>
      <c r="R855" s="35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43"/>
      <c r="B856" s="40"/>
      <c r="C856" s="44"/>
      <c r="D856" s="45"/>
      <c r="E856" s="44"/>
      <c r="F856" s="43"/>
      <c r="G856" s="43"/>
      <c r="H856" s="43"/>
      <c r="I856" s="46"/>
      <c r="J856" s="47"/>
      <c r="K856" s="48"/>
      <c r="L856" s="49"/>
      <c r="M856" s="49"/>
      <c r="N856" s="50"/>
      <c r="O856" s="43"/>
      <c r="P856" s="43"/>
      <c r="Q856" s="44"/>
      <c r="R856" s="35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43"/>
      <c r="B857" s="40"/>
      <c r="C857" s="44"/>
      <c r="D857" s="45"/>
      <c r="E857" s="44"/>
      <c r="F857" s="43"/>
      <c r="G857" s="43"/>
      <c r="H857" s="43"/>
      <c r="I857" s="46"/>
      <c r="J857" s="47"/>
      <c r="K857" s="48"/>
      <c r="L857" s="49"/>
      <c r="M857" s="49"/>
      <c r="N857" s="50"/>
      <c r="O857" s="43"/>
      <c r="P857" s="43"/>
      <c r="Q857" s="44"/>
      <c r="R857" s="35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43"/>
      <c r="B858" s="40"/>
      <c r="C858" s="44"/>
      <c r="D858" s="45"/>
      <c r="E858" s="44"/>
      <c r="F858" s="43"/>
      <c r="G858" s="43"/>
      <c r="H858" s="43"/>
      <c r="I858" s="46"/>
      <c r="J858" s="47"/>
      <c r="K858" s="48"/>
      <c r="L858" s="49"/>
      <c r="M858" s="49"/>
      <c r="N858" s="50"/>
      <c r="O858" s="43"/>
      <c r="P858" s="43"/>
      <c r="Q858" s="44"/>
      <c r="R858" s="35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43"/>
      <c r="B859" s="40"/>
      <c r="C859" s="44"/>
      <c r="D859" s="45"/>
      <c r="E859" s="44"/>
      <c r="F859" s="43"/>
      <c r="G859" s="43"/>
      <c r="H859" s="43"/>
      <c r="I859" s="46"/>
      <c r="J859" s="47"/>
      <c r="K859" s="48"/>
      <c r="L859" s="49"/>
      <c r="M859" s="49"/>
      <c r="N859" s="50"/>
      <c r="O859" s="43"/>
      <c r="P859" s="43"/>
      <c r="Q859" s="44"/>
      <c r="R859" s="35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43"/>
      <c r="B860" s="40"/>
      <c r="C860" s="44"/>
      <c r="D860" s="45"/>
      <c r="E860" s="44"/>
      <c r="F860" s="43"/>
      <c r="G860" s="43"/>
      <c r="H860" s="43"/>
      <c r="I860" s="46"/>
      <c r="J860" s="47"/>
      <c r="K860" s="48"/>
      <c r="L860" s="49"/>
      <c r="M860" s="49"/>
      <c r="N860" s="50"/>
      <c r="O860" s="43"/>
      <c r="P860" s="43"/>
      <c r="Q860" s="44"/>
      <c r="R860" s="35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43"/>
      <c r="B861" s="40"/>
      <c r="C861" s="44"/>
      <c r="D861" s="45"/>
      <c r="E861" s="44"/>
      <c r="F861" s="43"/>
      <c r="G861" s="43"/>
      <c r="H861" s="43"/>
      <c r="I861" s="46"/>
      <c r="J861" s="47"/>
      <c r="K861" s="48"/>
      <c r="L861" s="49"/>
      <c r="M861" s="49"/>
      <c r="N861" s="50"/>
      <c r="O861" s="43"/>
      <c r="P861" s="43"/>
      <c r="Q861" s="44"/>
      <c r="R861" s="35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43"/>
      <c r="B862" s="40"/>
      <c r="C862" s="44"/>
      <c r="D862" s="45"/>
      <c r="E862" s="44"/>
      <c r="F862" s="43"/>
      <c r="G862" s="43"/>
      <c r="H862" s="43"/>
      <c r="I862" s="46"/>
      <c r="J862" s="47"/>
      <c r="K862" s="48"/>
      <c r="L862" s="49"/>
      <c r="M862" s="49"/>
      <c r="N862" s="50"/>
      <c r="O862" s="43"/>
      <c r="P862" s="43"/>
      <c r="Q862" s="44"/>
      <c r="R862" s="35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43"/>
      <c r="B863" s="40"/>
      <c r="C863" s="44"/>
      <c r="D863" s="45"/>
      <c r="E863" s="44"/>
      <c r="F863" s="43"/>
      <c r="G863" s="43"/>
      <c r="H863" s="43"/>
      <c r="I863" s="46"/>
      <c r="J863" s="47"/>
      <c r="K863" s="48"/>
      <c r="L863" s="49"/>
      <c r="M863" s="49"/>
      <c r="N863" s="50"/>
      <c r="O863" s="43"/>
      <c r="P863" s="43"/>
      <c r="Q863" s="44"/>
      <c r="R863" s="35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43"/>
      <c r="B864" s="40"/>
      <c r="C864" s="44"/>
      <c r="D864" s="45"/>
      <c r="E864" s="44"/>
      <c r="F864" s="43"/>
      <c r="G864" s="43"/>
      <c r="H864" s="43"/>
      <c r="I864" s="46"/>
      <c r="J864" s="47"/>
      <c r="K864" s="48"/>
      <c r="L864" s="49"/>
      <c r="M864" s="49"/>
      <c r="N864" s="50"/>
      <c r="O864" s="43"/>
      <c r="P864" s="43"/>
      <c r="Q864" s="44"/>
      <c r="R864" s="35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43"/>
      <c r="B865" s="40"/>
      <c r="C865" s="44"/>
      <c r="D865" s="45"/>
      <c r="E865" s="44"/>
      <c r="F865" s="43"/>
      <c r="G865" s="43"/>
      <c r="H865" s="43"/>
      <c r="I865" s="46"/>
      <c r="J865" s="47"/>
      <c r="K865" s="48"/>
      <c r="L865" s="49"/>
      <c r="M865" s="49"/>
      <c r="N865" s="50"/>
      <c r="O865" s="43"/>
      <c r="P865" s="43"/>
      <c r="Q865" s="44"/>
      <c r="R865" s="35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43"/>
      <c r="B866" s="40"/>
      <c r="C866" s="44"/>
      <c r="D866" s="45"/>
      <c r="E866" s="44"/>
      <c r="F866" s="43"/>
      <c r="G866" s="43"/>
      <c r="H866" s="43"/>
      <c r="I866" s="46"/>
      <c r="J866" s="47"/>
      <c r="K866" s="48"/>
      <c r="L866" s="49"/>
      <c r="M866" s="49"/>
      <c r="N866" s="50"/>
      <c r="O866" s="43"/>
      <c r="P866" s="43"/>
      <c r="Q866" s="44"/>
      <c r="R866" s="35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43"/>
      <c r="B867" s="40"/>
      <c r="C867" s="44"/>
      <c r="D867" s="45"/>
      <c r="E867" s="44"/>
      <c r="F867" s="43"/>
      <c r="G867" s="43"/>
      <c r="H867" s="43"/>
      <c r="I867" s="46"/>
      <c r="J867" s="47"/>
      <c r="K867" s="48"/>
      <c r="L867" s="49"/>
      <c r="M867" s="49"/>
      <c r="N867" s="50"/>
      <c r="O867" s="43"/>
      <c r="P867" s="43"/>
      <c r="Q867" s="44"/>
      <c r="R867" s="35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43"/>
      <c r="B868" s="40"/>
      <c r="C868" s="44"/>
      <c r="D868" s="45"/>
      <c r="E868" s="44"/>
      <c r="F868" s="43"/>
      <c r="G868" s="43"/>
      <c r="H868" s="43"/>
      <c r="I868" s="46"/>
      <c r="J868" s="47"/>
      <c r="K868" s="48"/>
      <c r="L868" s="49"/>
      <c r="M868" s="49"/>
      <c r="N868" s="50"/>
      <c r="O868" s="43"/>
      <c r="P868" s="43"/>
      <c r="Q868" s="44"/>
      <c r="R868" s="35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43"/>
      <c r="B869" s="40"/>
      <c r="C869" s="44"/>
      <c r="D869" s="45"/>
      <c r="E869" s="44"/>
      <c r="F869" s="43"/>
      <c r="G869" s="43"/>
      <c r="H869" s="43"/>
      <c r="I869" s="46"/>
      <c r="J869" s="47"/>
      <c r="K869" s="48"/>
      <c r="L869" s="49"/>
      <c r="M869" s="49"/>
      <c r="N869" s="50"/>
      <c r="O869" s="43"/>
      <c r="P869" s="43"/>
      <c r="Q869" s="44"/>
      <c r="R869" s="35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43"/>
      <c r="B870" s="40"/>
      <c r="C870" s="44"/>
      <c r="D870" s="45"/>
      <c r="E870" s="44"/>
      <c r="F870" s="43"/>
      <c r="G870" s="43"/>
      <c r="H870" s="43"/>
      <c r="I870" s="46"/>
      <c r="J870" s="47"/>
      <c r="K870" s="48"/>
      <c r="L870" s="49"/>
      <c r="M870" s="49"/>
      <c r="N870" s="50"/>
      <c r="O870" s="43"/>
      <c r="P870" s="43"/>
      <c r="Q870" s="44"/>
      <c r="R870" s="35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43"/>
      <c r="B871" s="40"/>
      <c r="C871" s="44"/>
      <c r="D871" s="45"/>
      <c r="E871" s="44"/>
      <c r="F871" s="43"/>
      <c r="G871" s="43"/>
      <c r="H871" s="43"/>
      <c r="I871" s="46"/>
      <c r="J871" s="47"/>
      <c r="K871" s="48"/>
      <c r="L871" s="49"/>
      <c r="M871" s="49"/>
      <c r="N871" s="50"/>
      <c r="O871" s="43"/>
      <c r="P871" s="43"/>
      <c r="Q871" s="44"/>
      <c r="R871" s="35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43"/>
      <c r="B872" s="40"/>
      <c r="C872" s="44"/>
      <c r="D872" s="45"/>
      <c r="E872" s="44"/>
      <c r="F872" s="43"/>
      <c r="G872" s="43"/>
      <c r="H872" s="43"/>
      <c r="I872" s="46"/>
      <c r="J872" s="47"/>
      <c r="K872" s="48"/>
      <c r="L872" s="49"/>
      <c r="M872" s="49"/>
      <c r="N872" s="50"/>
      <c r="O872" s="43"/>
      <c r="P872" s="43"/>
      <c r="Q872" s="44"/>
      <c r="R872" s="35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43"/>
      <c r="B873" s="40"/>
      <c r="C873" s="44"/>
      <c r="D873" s="45"/>
      <c r="E873" s="44"/>
      <c r="F873" s="43"/>
      <c r="G873" s="43"/>
      <c r="H873" s="43"/>
      <c r="I873" s="46"/>
      <c r="J873" s="47"/>
      <c r="K873" s="48"/>
      <c r="L873" s="49"/>
      <c r="M873" s="49"/>
      <c r="N873" s="50"/>
      <c r="O873" s="43"/>
      <c r="P873" s="43"/>
      <c r="Q873" s="44"/>
      <c r="R873" s="35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43"/>
      <c r="B874" s="40"/>
      <c r="C874" s="44"/>
      <c r="D874" s="45"/>
      <c r="E874" s="44"/>
      <c r="F874" s="43"/>
      <c r="G874" s="43"/>
      <c r="H874" s="43"/>
      <c r="I874" s="46"/>
      <c r="J874" s="47"/>
      <c r="K874" s="48"/>
      <c r="L874" s="49"/>
      <c r="M874" s="49"/>
      <c r="N874" s="50"/>
      <c r="O874" s="43"/>
      <c r="P874" s="43"/>
      <c r="Q874" s="44"/>
      <c r="R874" s="35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43"/>
      <c r="B875" s="40"/>
      <c r="C875" s="44"/>
      <c r="D875" s="45"/>
      <c r="E875" s="44"/>
      <c r="F875" s="43"/>
      <c r="G875" s="43"/>
      <c r="H875" s="43"/>
      <c r="I875" s="46"/>
      <c r="J875" s="47"/>
      <c r="K875" s="48"/>
      <c r="L875" s="49"/>
      <c r="M875" s="49"/>
      <c r="N875" s="50"/>
      <c r="O875" s="43"/>
      <c r="P875" s="43"/>
      <c r="Q875" s="44"/>
      <c r="R875" s="35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43"/>
      <c r="B876" s="40"/>
      <c r="C876" s="44"/>
      <c r="D876" s="45"/>
      <c r="E876" s="44"/>
      <c r="F876" s="43"/>
      <c r="G876" s="43"/>
      <c r="H876" s="43"/>
      <c r="I876" s="46"/>
      <c r="J876" s="47"/>
      <c r="K876" s="48"/>
      <c r="L876" s="49"/>
      <c r="M876" s="49"/>
      <c r="N876" s="50"/>
      <c r="O876" s="43"/>
      <c r="P876" s="43"/>
      <c r="Q876" s="44"/>
      <c r="R876" s="35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43"/>
      <c r="B877" s="40"/>
      <c r="C877" s="44"/>
      <c r="D877" s="45"/>
      <c r="E877" s="44"/>
      <c r="F877" s="43"/>
      <c r="G877" s="43"/>
      <c r="H877" s="43"/>
      <c r="I877" s="46"/>
      <c r="J877" s="47"/>
      <c r="K877" s="48"/>
      <c r="L877" s="49"/>
      <c r="M877" s="49"/>
      <c r="N877" s="50"/>
      <c r="O877" s="43"/>
      <c r="P877" s="43"/>
      <c r="Q877" s="44"/>
      <c r="R877" s="35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43"/>
      <c r="B878" s="40"/>
      <c r="C878" s="44"/>
      <c r="D878" s="45"/>
      <c r="E878" s="44"/>
      <c r="F878" s="43"/>
      <c r="G878" s="43"/>
      <c r="H878" s="43"/>
      <c r="I878" s="46"/>
      <c r="J878" s="47"/>
      <c r="K878" s="48"/>
      <c r="L878" s="49"/>
      <c r="M878" s="49"/>
      <c r="N878" s="50"/>
      <c r="O878" s="43"/>
      <c r="P878" s="43"/>
      <c r="Q878" s="44"/>
      <c r="R878" s="35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43"/>
      <c r="B879" s="40"/>
      <c r="C879" s="44"/>
      <c r="D879" s="45"/>
      <c r="E879" s="44"/>
      <c r="F879" s="43"/>
      <c r="G879" s="43"/>
      <c r="H879" s="43"/>
      <c r="I879" s="46"/>
      <c r="J879" s="47"/>
      <c r="K879" s="48"/>
      <c r="L879" s="49"/>
      <c r="M879" s="49"/>
      <c r="N879" s="50"/>
      <c r="O879" s="43"/>
      <c r="P879" s="43"/>
      <c r="Q879" s="44"/>
      <c r="R879" s="35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43"/>
      <c r="B880" s="40"/>
      <c r="C880" s="44"/>
      <c r="D880" s="45"/>
      <c r="E880" s="44"/>
      <c r="F880" s="43"/>
      <c r="G880" s="43"/>
      <c r="H880" s="43"/>
      <c r="I880" s="46"/>
      <c r="J880" s="47"/>
      <c r="K880" s="48"/>
      <c r="L880" s="49"/>
      <c r="M880" s="49"/>
      <c r="N880" s="50"/>
      <c r="O880" s="43"/>
      <c r="P880" s="43"/>
      <c r="Q880" s="44"/>
      <c r="R880" s="35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43"/>
      <c r="B881" s="40"/>
      <c r="C881" s="44"/>
      <c r="D881" s="45"/>
      <c r="E881" s="44"/>
      <c r="F881" s="43"/>
      <c r="G881" s="43"/>
      <c r="H881" s="43"/>
      <c r="I881" s="46"/>
      <c r="J881" s="47"/>
      <c r="K881" s="48"/>
      <c r="L881" s="49"/>
      <c r="M881" s="49"/>
      <c r="N881" s="50"/>
      <c r="O881" s="43"/>
      <c r="P881" s="43"/>
      <c r="Q881" s="44"/>
      <c r="R881" s="35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43"/>
      <c r="B882" s="40"/>
      <c r="C882" s="44"/>
      <c r="D882" s="45"/>
      <c r="E882" s="44"/>
      <c r="F882" s="43"/>
      <c r="G882" s="43"/>
      <c r="H882" s="43"/>
      <c r="I882" s="46"/>
      <c r="J882" s="47"/>
      <c r="K882" s="48"/>
      <c r="L882" s="49"/>
      <c r="M882" s="49"/>
      <c r="N882" s="50"/>
      <c r="O882" s="43"/>
      <c r="P882" s="43"/>
      <c r="Q882" s="44"/>
      <c r="R882" s="35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43"/>
      <c r="B883" s="40"/>
      <c r="C883" s="44"/>
      <c r="D883" s="45"/>
      <c r="E883" s="44"/>
      <c r="F883" s="43"/>
      <c r="G883" s="43"/>
      <c r="H883" s="43"/>
      <c r="I883" s="46"/>
      <c r="J883" s="47"/>
      <c r="K883" s="48"/>
      <c r="L883" s="49"/>
      <c r="M883" s="49"/>
      <c r="N883" s="50"/>
      <c r="O883" s="43"/>
      <c r="P883" s="43"/>
      <c r="Q883" s="44"/>
      <c r="R883" s="35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43"/>
      <c r="B884" s="40"/>
      <c r="C884" s="44"/>
      <c r="D884" s="45"/>
      <c r="E884" s="44"/>
      <c r="F884" s="43"/>
      <c r="G884" s="43"/>
      <c r="H884" s="43"/>
      <c r="I884" s="46"/>
      <c r="J884" s="47"/>
      <c r="K884" s="48"/>
      <c r="L884" s="49"/>
      <c r="M884" s="49"/>
      <c r="N884" s="50"/>
      <c r="O884" s="43"/>
      <c r="P884" s="43"/>
      <c r="Q884" s="44"/>
      <c r="R884" s="35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43"/>
      <c r="B885" s="40"/>
      <c r="C885" s="44"/>
      <c r="D885" s="45"/>
      <c r="E885" s="44"/>
      <c r="F885" s="43"/>
      <c r="G885" s="43"/>
      <c r="H885" s="43"/>
      <c r="I885" s="46"/>
      <c r="J885" s="47"/>
      <c r="K885" s="48"/>
      <c r="L885" s="49"/>
      <c r="M885" s="49"/>
      <c r="N885" s="50"/>
      <c r="O885" s="43"/>
      <c r="P885" s="43"/>
      <c r="Q885" s="44"/>
      <c r="R885" s="35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43"/>
      <c r="B886" s="40"/>
      <c r="C886" s="44"/>
      <c r="D886" s="45"/>
      <c r="E886" s="44"/>
      <c r="F886" s="43"/>
      <c r="G886" s="43"/>
      <c r="H886" s="43"/>
      <c r="I886" s="46"/>
      <c r="J886" s="47"/>
      <c r="K886" s="48"/>
      <c r="L886" s="49"/>
      <c r="M886" s="49"/>
      <c r="N886" s="50"/>
      <c r="O886" s="43"/>
      <c r="P886" s="43"/>
      <c r="Q886" s="44"/>
      <c r="R886" s="35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43"/>
      <c r="B887" s="40"/>
      <c r="C887" s="44"/>
      <c r="D887" s="45"/>
      <c r="E887" s="44"/>
      <c r="F887" s="43"/>
      <c r="G887" s="43"/>
      <c r="H887" s="43"/>
      <c r="I887" s="46"/>
      <c r="J887" s="47"/>
      <c r="K887" s="48"/>
      <c r="L887" s="49"/>
      <c r="M887" s="49"/>
      <c r="N887" s="50"/>
      <c r="O887" s="43"/>
      <c r="P887" s="43"/>
      <c r="Q887" s="44"/>
      <c r="R887" s="35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43"/>
      <c r="B888" s="40"/>
      <c r="C888" s="44"/>
      <c r="D888" s="45"/>
      <c r="E888" s="44"/>
      <c r="F888" s="43"/>
      <c r="G888" s="43"/>
      <c r="H888" s="43"/>
      <c r="I888" s="46"/>
      <c r="J888" s="47"/>
      <c r="K888" s="48"/>
      <c r="L888" s="49"/>
      <c r="M888" s="49"/>
      <c r="N888" s="50"/>
      <c r="O888" s="43"/>
      <c r="P888" s="43"/>
      <c r="Q888" s="44"/>
      <c r="R888" s="35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43"/>
      <c r="B889" s="40"/>
      <c r="C889" s="44"/>
      <c r="D889" s="45"/>
      <c r="E889" s="44"/>
      <c r="F889" s="43"/>
      <c r="G889" s="43"/>
      <c r="H889" s="43"/>
      <c r="I889" s="46"/>
      <c r="J889" s="47"/>
      <c r="K889" s="48"/>
      <c r="L889" s="49"/>
      <c r="M889" s="49"/>
      <c r="N889" s="50"/>
      <c r="O889" s="43"/>
      <c r="P889" s="43"/>
      <c r="Q889" s="44"/>
      <c r="R889" s="35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43"/>
      <c r="B890" s="40"/>
      <c r="C890" s="44"/>
      <c r="D890" s="45"/>
      <c r="E890" s="44"/>
      <c r="F890" s="43"/>
      <c r="G890" s="43"/>
      <c r="H890" s="43"/>
      <c r="I890" s="46"/>
      <c r="J890" s="47"/>
      <c r="K890" s="48"/>
      <c r="L890" s="49"/>
      <c r="M890" s="49"/>
      <c r="N890" s="50"/>
      <c r="O890" s="43"/>
      <c r="P890" s="43"/>
      <c r="Q890" s="44"/>
      <c r="R890" s="35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43"/>
      <c r="B891" s="40"/>
      <c r="C891" s="44"/>
      <c r="D891" s="45"/>
      <c r="E891" s="44"/>
      <c r="F891" s="43"/>
      <c r="G891" s="43"/>
      <c r="H891" s="43"/>
      <c r="I891" s="46"/>
      <c r="J891" s="47"/>
      <c r="K891" s="48"/>
      <c r="L891" s="49"/>
      <c r="M891" s="49"/>
      <c r="N891" s="50"/>
      <c r="O891" s="43"/>
      <c r="P891" s="43"/>
      <c r="Q891" s="44"/>
      <c r="R891" s="35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43"/>
      <c r="B892" s="40"/>
      <c r="C892" s="44"/>
      <c r="D892" s="45"/>
      <c r="E892" s="44"/>
      <c r="F892" s="43"/>
      <c r="G892" s="43"/>
      <c r="H892" s="43"/>
      <c r="I892" s="46"/>
      <c r="J892" s="47"/>
      <c r="K892" s="48"/>
      <c r="L892" s="49"/>
      <c r="M892" s="49"/>
      <c r="N892" s="50"/>
      <c r="O892" s="43"/>
      <c r="P892" s="43"/>
      <c r="Q892" s="44"/>
      <c r="R892" s="35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43"/>
      <c r="B893" s="40"/>
      <c r="C893" s="44"/>
      <c r="D893" s="45"/>
      <c r="E893" s="44"/>
      <c r="F893" s="43"/>
      <c r="G893" s="43"/>
      <c r="H893" s="43"/>
      <c r="I893" s="46"/>
      <c r="J893" s="47"/>
      <c r="K893" s="48"/>
      <c r="L893" s="49"/>
      <c r="M893" s="49"/>
      <c r="N893" s="50"/>
      <c r="O893" s="43"/>
      <c r="P893" s="43"/>
      <c r="Q893" s="44"/>
      <c r="R893" s="35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43"/>
      <c r="B894" s="40"/>
      <c r="C894" s="44"/>
      <c r="D894" s="45"/>
      <c r="E894" s="44"/>
      <c r="F894" s="43"/>
      <c r="G894" s="43"/>
      <c r="H894" s="43"/>
      <c r="I894" s="46"/>
      <c r="J894" s="47"/>
      <c r="K894" s="48"/>
      <c r="L894" s="49"/>
      <c r="M894" s="49"/>
      <c r="N894" s="50"/>
      <c r="O894" s="43"/>
      <c r="P894" s="43"/>
      <c r="Q894" s="44"/>
      <c r="R894" s="35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43"/>
      <c r="B895" s="40"/>
      <c r="C895" s="44"/>
      <c r="D895" s="45"/>
      <c r="E895" s="44"/>
      <c r="F895" s="43"/>
      <c r="G895" s="43"/>
      <c r="H895" s="43"/>
      <c r="I895" s="46"/>
      <c r="J895" s="47"/>
      <c r="K895" s="48"/>
      <c r="L895" s="49"/>
      <c r="M895" s="49"/>
      <c r="N895" s="50"/>
      <c r="O895" s="43"/>
      <c r="P895" s="43"/>
      <c r="Q895" s="44"/>
      <c r="R895" s="35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43"/>
      <c r="B896" s="40"/>
      <c r="C896" s="44"/>
      <c r="D896" s="45"/>
      <c r="E896" s="44"/>
      <c r="F896" s="43"/>
      <c r="G896" s="43"/>
      <c r="H896" s="43"/>
      <c r="I896" s="46"/>
      <c r="J896" s="47"/>
      <c r="K896" s="48"/>
      <c r="L896" s="49"/>
      <c r="M896" s="49"/>
      <c r="N896" s="50"/>
      <c r="O896" s="43"/>
      <c r="P896" s="43"/>
      <c r="Q896" s="44"/>
      <c r="R896" s="35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43"/>
      <c r="B897" s="40"/>
      <c r="C897" s="44"/>
      <c r="D897" s="45"/>
      <c r="E897" s="44"/>
      <c r="F897" s="43"/>
      <c r="G897" s="43"/>
      <c r="H897" s="43"/>
      <c r="I897" s="46"/>
      <c r="J897" s="47"/>
      <c r="K897" s="48"/>
      <c r="L897" s="49"/>
      <c r="M897" s="49"/>
      <c r="N897" s="50"/>
      <c r="O897" s="43"/>
      <c r="P897" s="43"/>
      <c r="Q897" s="44"/>
      <c r="R897" s="35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43"/>
      <c r="B898" s="40"/>
      <c r="C898" s="44"/>
      <c r="D898" s="45"/>
      <c r="E898" s="44"/>
      <c r="F898" s="43"/>
      <c r="G898" s="43"/>
      <c r="H898" s="43"/>
      <c r="I898" s="46"/>
      <c r="J898" s="47"/>
      <c r="K898" s="48"/>
      <c r="L898" s="49"/>
      <c r="M898" s="49"/>
      <c r="N898" s="50"/>
      <c r="O898" s="43"/>
      <c r="P898" s="43"/>
      <c r="Q898" s="44"/>
      <c r="R898" s="35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43"/>
      <c r="B899" s="40"/>
      <c r="C899" s="44"/>
      <c r="D899" s="45"/>
      <c r="E899" s="44"/>
      <c r="F899" s="43"/>
      <c r="G899" s="43"/>
      <c r="H899" s="43"/>
      <c r="I899" s="46"/>
      <c r="J899" s="47"/>
      <c r="K899" s="48"/>
      <c r="L899" s="49"/>
      <c r="M899" s="49"/>
      <c r="N899" s="50"/>
      <c r="O899" s="43"/>
      <c r="P899" s="43"/>
      <c r="Q899" s="44"/>
      <c r="R899" s="35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43"/>
      <c r="B900" s="40"/>
      <c r="C900" s="44"/>
      <c r="D900" s="45"/>
      <c r="E900" s="44"/>
      <c r="F900" s="43"/>
      <c r="G900" s="43"/>
      <c r="H900" s="43"/>
      <c r="I900" s="46"/>
      <c r="J900" s="47"/>
      <c r="K900" s="48"/>
      <c r="L900" s="49"/>
      <c r="M900" s="49"/>
      <c r="N900" s="50"/>
      <c r="O900" s="43"/>
      <c r="P900" s="43"/>
      <c r="Q900" s="44"/>
      <c r="R900" s="35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43"/>
      <c r="B901" s="40"/>
      <c r="C901" s="44"/>
      <c r="D901" s="45"/>
      <c r="E901" s="44"/>
      <c r="F901" s="43"/>
      <c r="G901" s="43"/>
      <c r="H901" s="43"/>
      <c r="I901" s="46"/>
      <c r="J901" s="47"/>
      <c r="K901" s="48"/>
      <c r="L901" s="49"/>
      <c r="M901" s="49"/>
      <c r="N901" s="50"/>
      <c r="O901" s="43"/>
      <c r="P901" s="43"/>
      <c r="Q901" s="44"/>
      <c r="R901" s="35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43"/>
      <c r="B902" s="40"/>
      <c r="C902" s="44"/>
      <c r="D902" s="45"/>
      <c r="E902" s="44"/>
      <c r="F902" s="43"/>
      <c r="G902" s="43"/>
      <c r="H902" s="43"/>
      <c r="I902" s="46"/>
      <c r="J902" s="47"/>
      <c r="K902" s="48"/>
      <c r="L902" s="49"/>
      <c r="M902" s="49"/>
      <c r="N902" s="50"/>
      <c r="O902" s="43"/>
      <c r="P902" s="43"/>
      <c r="Q902" s="44"/>
      <c r="R902" s="35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43"/>
      <c r="B903" s="40"/>
      <c r="C903" s="44"/>
      <c r="D903" s="45"/>
      <c r="E903" s="44"/>
      <c r="F903" s="43"/>
      <c r="G903" s="43"/>
      <c r="H903" s="43"/>
      <c r="I903" s="46"/>
      <c r="J903" s="47"/>
      <c r="K903" s="48"/>
      <c r="L903" s="49"/>
      <c r="M903" s="49"/>
      <c r="N903" s="50"/>
      <c r="O903" s="43"/>
      <c r="P903" s="43"/>
      <c r="Q903" s="44"/>
      <c r="R903" s="35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43"/>
      <c r="B904" s="40"/>
      <c r="C904" s="44"/>
      <c r="D904" s="45"/>
      <c r="E904" s="44"/>
      <c r="F904" s="43"/>
      <c r="G904" s="43"/>
      <c r="H904" s="43"/>
      <c r="I904" s="46"/>
      <c r="J904" s="47"/>
      <c r="K904" s="48"/>
      <c r="L904" s="49"/>
      <c r="M904" s="49"/>
      <c r="N904" s="50"/>
      <c r="O904" s="43"/>
      <c r="P904" s="43"/>
      <c r="Q904" s="44"/>
      <c r="R904" s="35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43"/>
      <c r="B905" s="40"/>
      <c r="C905" s="44"/>
      <c r="D905" s="45"/>
      <c r="E905" s="44"/>
      <c r="F905" s="43"/>
      <c r="G905" s="43"/>
      <c r="H905" s="43"/>
      <c r="I905" s="46"/>
      <c r="J905" s="47"/>
      <c r="K905" s="48"/>
      <c r="L905" s="49"/>
      <c r="M905" s="49"/>
      <c r="N905" s="50"/>
      <c r="O905" s="43"/>
      <c r="P905" s="43"/>
      <c r="Q905" s="44"/>
      <c r="R905" s="35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43"/>
      <c r="B906" s="40"/>
      <c r="C906" s="44"/>
      <c r="D906" s="45"/>
      <c r="E906" s="44"/>
      <c r="F906" s="43"/>
      <c r="G906" s="43"/>
      <c r="H906" s="43"/>
      <c r="I906" s="46"/>
      <c r="J906" s="47"/>
      <c r="K906" s="48"/>
      <c r="L906" s="49"/>
      <c r="M906" s="49"/>
      <c r="N906" s="50"/>
      <c r="O906" s="43"/>
      <c r="P906" s="43"/>
      <c r="Q906" s="44"/>
      <c r="R906" s="35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43"/>
      <c r="B907" s="40"/>
      <c r="C907" s="44"/>
      <c r="D907" s="45"/>
      <c r="E907" s="44"/>
      <c r="F907" s="43"/>
      <c r="G907" s="43"/>
      <c r="H907" s="43"/>
      <c r="I907" s="46"/>
      <c r="J907" s="47"/>
      <c r="K907" s="48"/>
      <c r="L907" s="49"/>
      <c r="M907" s="49"/>
      <c r="N907" s="50"/>
      <c r="O907" s="43"/>
      <c r="P907" s="43"/>
      <c r="Q907" s="44"/>
      <c r="R907" s="35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43"/>
      <c r="B908" s="40"/>
      <c r="C908" s="44"/>
      <c r="D908" s="45"/>
      <c r="E908" s="44"/>
      <c r="F908" s="43"/>
      <c r="G908" s="43"/>
      <c r="H908" s="43"/>
      <c r="I908" s="46"/>
      <c r="J908" s="47"/>
      <c r="K908" s="48"/>
      <c r="L908" s="49"/>
      <c r="M908" s="49"/>
      <c r="N908" s="50"/>
      <c r="O908" s="43"/>
      <c r="P908" s="43"/>
      <c r="Q908" s="44"/>
      <c r="R908" s="35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43"/>
      <c r="B909" s="40"/>
      <c r="C909" s="44"/>
      <c r="D909" s="45"/>
      <c r="E909" s="44"/>
      <c r="F909" s="43"/>
      <c r="G909" s="43"/>
      <c r="H909" s="43"/>
      <c r="I909" s="46"/>
      <c r="J909" s="47"/>
      <c r="K909" s="48"/>
      <c r="L909" s="49"/>
      <c r="M909" s="49"/>
      <c r="N909" s="50"/>
      <c r="O909" s="43"/>
      <c r="P909" s="43"/>
      <c r="Q909" s="44"/>
      <c r="R909" s="35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43"/>
      <c r="B910" s="40"/>
      <c r="C910" s="44"/>
      <c r="D910" s="45"/>
      <c r="E910" s="44"/>
      <c r="F910" s="43"/>
      <c r="G910" s="43"/>
      <c r="H910" s="43"/>
      <c r="I910" s="46"/>
      <c r="J910" s="47"/>
      <c r="K910" s="48"/>
      <c r="L910" s="49"/>
      <c r="M910" s="49"/>
      <c r="N910" s="50"/>
      <c r="O910" s="43"/>
      <c r="P910" s="43"/>
      <c r="Q910" s="44"/>
      <c r="R910" s="35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43"/>
      <c r="B911" s="40"/>
      <c r="C911" s="44"/>
      <c r="D911" s="45"/>
      <c r="E911" s="44"/>
      <c r="F911" s="43"/>
      <c r="G911" s="43"/>
      <c r="H911" s="43"/>
      <c r="I911" s="46"/>
      <c r="J911" s="47"/>
      <c r="K911" s="48"/>
      <c r="L911" s="49"/>
      <c r="M911" s="49"/>
      <c r="N911" s="50"/>
      <c r="O911" s="43"/>
      <c r="P911" s="43"/>
      <c r="Q911" s="44"/>
      <c r="R911" s="35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43"/>
      <c r="B912" s="40"/>
      <c r="C912" s="44"/>
      <c r="D912" s="45"/>
      <c r="E912" s="44"/>
      <c r="F912" s="43"/>
      <c r="G912" s="43"/>
      <c r="H912" s="43"/>
      <c r="I912" s="46"/>
      <c r="J912" s="47"/>
      <c r="K912" s="48"/>
      <c r="L912" s="49"/>
      <c r="M912" s="49"/>
      <c r="N912" s="50"/>
      <c r="O912" s="43"/>
      <c r="P912" s="43"/>
      <c r="Q912" s="44"/>
      <c r="R912" s="35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43"/>
      <c r="B913" s="40"/>
      <c r="C913" s="44"/>
      <c r="D913" s="45"/>
      <c r="E913" s="44"/>
      <c r="F913" s="43"/>
      <c r="G913" s="43"/>
      <c r="H913" s="43"/>
      <c r="I913" s="46"/>
      <c r="J913" s="47"/>
      <c r="K913" s="48"/>
      <c r="L913" s="49"/>
      <c r="M913" s="49"/>
      <c r="N913" s="50"/>
      <c r="O913" s="43"/>
      <c r="P913" s="43"/>
      <c r="Q913" s="44"/>
      <c r="R913" s="35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43"/>
      <c r="B914" s="40"/>
      <c r="C914" s="44"/>
      <c r="D914" s="45"/>
      <c r="E914" s="44"/>
      <c r="F914" s="43"/>
      <c r="G914" s="43"/>
      <c r="H914" s="43"/>
      <c r="I914" s="46"/>
      <c r="J914" s="47"/>
      <c r="K914" s="48"/>
      <c r="L914" s="49"/>
      <c r="M914" s="49"/>
      <c r="N914" s="50"/>
      <c r="O914" s="43"/>
      <c r="P914" s="43"/>
      <c r="Q914" s="44"/>
      <c r="R914" s="35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43"/>
      <c r="B915" s="40"/>
      <c r="C915" s="44"/>
      <c r="D915" s="45"/>
      <c r="E915" s="44"/>
      <c r="F915" s="43"/>
      <c r="G915" s="43"/>
      <c r="H915" s="43"/>
      <c r="I915" s="46"/>
      <c r="J915" s="47"/>
      <c r="K915" s="48"/>
      <c r="L915" s="49"/>
      <c r="M915" s="49"/>
      <c r="N915" s="50"/>
      <c r="O915" s="43"/>
      <c r="P915" s="43"/>
      <c r="Q915" s="44"/>
      <c r="R915" s="35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43"/>
      <c r="B916" s="40"/>
      <c r="C916" s="44"/>
      <c r="D916" s="45"/>
      <c r="E916" s="44"/>
      <c r="F916" s="43"/>
      <c r="G916" s="43"/>
      <c r="H916" s="43"/>
      <c r="I916" s="46"/>
      <c r="J916" s="47"/>
      <c r="K916" s="48"/>
      <c r="L916" s="49"/>
      <c r="M916" s="49"/>
      <c r="N916" s="50"/>
      <c r="O916" s="43"/>
      <c r="P916" s="43"/>
      <c r="Q916" s="44"/>
      <c r="R916" s="35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43"/>
      <c r="B917" s="40"/>
      <c r="C917" s="44"/>
      <c r="D917" s="45"/>
      <c r="E917" s="44"/>
      <c r="F917" s="43"/>
      <c r="G917" s="43"/>
      <c r="H917" s="43"/>
      <c r="I917" s="46"/>
      <c r="J917" s="47"/>
      <c r="K917" s="48"/>
      <c r="L917" s="49"/>
      <c r="M917" s="49"/>
      <c r="N917" s="50"/>
      <c r="O917" s="43"/>
      <c r="P917" s="43"/>
      <c r="Q917" s="44"/>
      <c r="R917" s="35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43"/>
      <c r="B918" s="40"/>
      <c r="C918" s="44"/>
      <c r="D918" s="45"/>
      <c r="E918" s="44"/>
      <c r="F918" s="43"/>
      <c r="G918" s="43"/>
      <c r="H918" s="43"/>
      <c r="I918" s="46"/>
      <c r="J918" s="47"/>
      <c r="K918" s="48"/>
      <c r="L918" s="49"/>
      <c r="M918" s="49"/>
      <c r="N918" s="50"/>
      <c r="O918" s="43"/>
      <c r="P918" s="43"/>
      <c r="Q918" s="44"/>
      <c r="R918" s="35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43"/>
      <c r="B919" s="40"/>
      <c r="C919" s="44"/>
      <c r="D919" s="45"/>
      <c r="E919" s="44"/>
      <c r="F919" s="43"/>
      <c r="G919" s="43"/>
      <c r="H919" s="43"/>
      <c r="I919" s="46"/>
      <c r="J919" s="47"/>
      <c r="K919" s="48"/>
      <c r="L919" s="49"/>
      <c r="M919" s="49"/>
      <c r="N919" s="50"/>
      <c r="O919" s="43"/>
      <c r="P919" s="43"/>
      <c r="Q919" s="44"/>
      <c r="R919" s="35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43"/>
      <c r="B920" s="40"/>
      <c r="C920" s="44"/>
      <c r="D920" s="45"/>
      <c r="E920" s="44"/>
      <c r="F920" s="43"/>
      <c r="G920" s="43"/>
      <c r="H920" s="43"/>
      <c r="I920" s="46"/>
      <c r="J920" s="47"/>
      <c r="K920" s="48"/>
      <c r="L920" s="49"/>
      <c r="M920" s="49"/>
      <c r="N920" s="50"/>
      <c r="O920" s="43"/>
      <c r="P920" s="43"/>
      <c r="Q920" s="44"/>
      <c r="R920" s="35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43"/>
      <c r="B921" s="40"/>
      <c r="C921" s="44"/>
      <c r="D921" s="45"/>
      <c r="E921" s="44"/>
      <c r="F921" s="43"/>
      <c r="G921" s="43"/>
      <c r="H921" s="43"/>
      <c r="I921" s="46"/>
      <c r="J921" s="47"/>
      <c r="K921" s="48"/>
      <c r="L921" s="49"/>
      <c r="M921" s="49"/>
      <c r="N921" s="50"/>
      <c r="O921" s="43"/>
      <c r="P921" s="43"/>
      <c r="Q921" s="44"/>
      <c r="R921" s="35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43"/>
      <c r="B922" s="40"/>
      <c r="C922" s="44"/>
      <c r="D922" s="45"/>
      <c r="E922" s="44"/>
      <c r="F922" s="43"/>
      <c r="G922" s="43"/>
      <c r="H922" s="43"/>
      <c r="I922" s="46"/>
      <c r="J922" s="47"/>
      <c r="K922" s="48"/>
      <c r="L922" s="49"/>
      <c r="M922" s="49"/>
      <c r="N922" s="50"/>
      <c r="O922" s="43"/>
      <c r="P922" s="43"/>
      <c r="Q922" s="44"/>
      <c r="R922" s="35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43"/>
      <c r="B923" s="40"/>
      <c r="C923" s="44"/>
      <c r="D923" s="45"/>
      <c r="E923" s="44"/>
      <c r="F923" s="43"/>
      <c r="G923" s="43"/>
      <c r="H923" s="43"/>
      <c r="I923" s="46"/>
      <c r="J923" s="47"/>
      <c r="K923" s="48"/>
      <c r="L923" s="49"/>
      <c r="M923" s="49"/>
      <c r="N923" s="50"/>
      <c r="O923" s="43"/>
      <c r="P923" s="43"/>
      <c r="Q923" s="44"/>
      <c r="R923" s="35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43"/>
      <c r="B924" s="40"/>
      <c r="C924" s="44"/>
      <c r="D924" s="45"/>
      <c r="E924" s="44"/>
      <c r="F924" s="43"/>
      <c r="G924" s="43"/>
      <c r="H924" s="43"/>
      <c r="I924" s="46"/>
      <c r="J924" s="47"/>
      <c r="K924" s="48"/>
      <c r="L924" s="49"/>
      <c r="M924" s="49"/>
      <c r="N924" s="50"/>
      <c r="O924" s="43"/>
      <c r="P924" s="43"/>
      <c r="Q924" s="44"/>
      <c r="R924" s="35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43"/>
      <c r="B925" s="40"/>
      <c r="C925" s="44"/>
      <c r="D925" s="45"/>
      <c r="E925" s="44"/>
      <c r="F925" s="43"/>
      <c r="G925" s="43"/>
      <c r="H925" s="43"/>
      <c r="I925" s="46"/>
      <c r="J925" s="47"/>
      <c r="K925" s="48"/>
      <c r="L925" s="49"/>
      <c r="M925" s="49"/>
      <c r="N925" s="50"/>
      <c r="O925" s="43"/>
      <c r="P925" s="43"/>
      <c r="Q925" s="44"/>
      <c r="R925" s="35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43"/>
      <c r="B926" s="40"/>
      <c r="C926" s="44"/>
      <c r="D926" s="45"/>
      <c r="E926" s="44"/>
      <c r="F926" s="43"/>
      <c r="G926" s="43"/>
      <c r="H926" s="43"/>
      <c r="I926" s="46"/>
      <c r="J926" s="47"/>
      <c r="K926" s="48"/>
      <c r="L926" s="49"/>
      <c r="M926" s="49"/>
      <c r="N926" s="50"/>
      <c r="O926" s="43"/>
      <c r="P926" s="43"/>
      <c r="Q926" s="44"/>
      <c r="R926" s="35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43"/>
      <c r="B927" s="40"/>
      <c r="C927" s="44"/>
      <c r="D927" s="45"/>
      <c r="E927" s="44"/>
      <c r="F927" s="43"/>
      <c r="G927" s="43"/>
      <c r="H927" s="43"/>
      <c r="I927" s="46"/>
      <c r="J927" s="47"/>
      <c r="K927" s="48"/>
      <c r="L927" s="49"/>
      <c r="M927" s="49"/>
      <c r="N927" s="50"/>
      <c r="O927" s="43"/>
      <c r="P927" s="43"/>
      <c r="Q927" s="44"/>
      <c r="R927" s="35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43"/>
      <c r="B928" s="40"/>
      <c r="C928" s="44"/>
      <c r="D928" s="45"/>
      <c r="E928" s="44"/>
      <c r="F928" s="43"/>
      <c r="G928" s="43"/>
      <c r="H928" s="43"/>
      <c r="I928" s="46"/>
      <c r="J928" s="47"/>
      <c r="K928" s="48"/>
      <c r="L928" s="49"/>
      <c r="M928" s="49"/>
      <c r="N928" s="50"/>
      <c r="O928" s="43"/>
      <c r="P928" s="43"/>
      <c r="Q928" s="44"/>
      <c r="R928" s="35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43"/>
      <c r="B929" s="40"/>
      <c r="C929" s="44"/>
      <c r="D929" s="45"/>
      <c r="E929" s="44"/>
      <c r="F929" s="43"/>
      <c r="G929" s="43"/>
      <c r="H929" s="43"/>
      <c r="I929" s="46"/>
      <c r="J929" s="47"/>
      <c r="K929" s="48"/>
      <c r="L929" s="49"/>
      <c r="M929" s="49"/>
      <c r="N929" s="50"/>
      <c r="O929" s="43"/>
      <c r="P929" s="43"/>
      <c r="Q929" s="44"/>
      <c r="R929" s="35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43"/>
      <c r="B930" s="40"/>
      <c r="C930" s="44"/>
      <c r="D930" s="45"/>
      <c r="E930" s="44"/>
      <c r="F930" s="43"/>
      <c r="G930" s="43"/>
      <c r="H930" s="43"/>
      <c r="I930" s="46"/>
      <c r="J930" s="47"/>
      <c r="K930" s="48"/>
      <c r="L930" s="49"/>
      <c r="M930" s="49"/>
      <c r="N930" s="50"/>
      <c r="O930" s="43"/>
      <c r="P930" s="43"/>
      <c r="Q930" s="44"/>
      <c r="R930" s="35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43"/>
      <c r="B931" s="40"/>
      <c r="C931" s="44"/>
      <c r="D931" s="45"/>
      <c r="E931" s="44"/>
      <c r="F931" s="43"/>
      <c r="G931" s="43"/>
      <c r="H931" s="43"/>
      <c r="I931" s="46"/>
      <c r="J931" s="47"/>
      <c r="K931" s="48"/>
      <c r="L931" s="49"/>
      <c r="M931" s="49"/>
      <c r="N931" s="50"/>
      <c r="O931" s="43"/>
      <c r="P931" s="43"/>
      <c r="Q931" s="44"/>
      <c r="R931" s="35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43"/>
      <c r="B932" s="40"/>
      <c r="C932" s="44"/>
      <c r="D932" s="45"/>
      <c r="E932" s="44"/>
      <c r="F932" s="43"/>
      <c r="G932" s="43"/>
      <c r="H932" s="43"/>
      <c r="I932" s="46"/>
      <c r="J932" s="47"/>
      <c r="K932" s="48"/>
      <c r="L932" s="49"/>
      <c r="M932" s="49"/>
      <c r="N932" s="50"/>
      <c r="O932" s="43"/>
      <c r="P932" s="43"/>
      <c r="Q932" s="44"/>
      <c r="R932" s="35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43"/>
      <c r="B933" s="40"/>
      <c r="C933" s="44"/>
      <c r="D933" s="45"/>
      <c r="E933" s="44"/>
      <c r="F933" s="43"/>
      <c r="G933" s="43"/>
      <c r="H933" s="43"/>
      <c r="I933" s="46"/>
      <c r="J933" s="47"/>
      <c r="K933" s="48"/>
      <c r="L933" s="49"/>
      <c r="M933" s="49"/>
      <c r="N933" s="50"/>
      <c r="O933" s="43"/>
      <c r="P933" s="43"/>
      <c r="Q933" s="44"/>
      <c r="R933" s="35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43"/>
      <c r="B934" s="40"/>
      <c r="C934" s="44"/>
      <c r="D934" s="45"/>
      <c r="E934" s="44"/>
      <c r="F934" s="43"/>
      <c r="G934" s="43"/>
      <c r="H934" s="43"/>
      <c r="I934" s="46"/>
      <c r="J934" s="47"/>
      <c r="K934" s="48"/>
      <c r="L934" s="49"/>
      <c r="M934" s="49"/>
      <c r="N934" s="50"/>
      <c r="O934" s="43"/>
      <c r="P934" s="43"/>
      <c r="Q934" s="44"/>
      <c r="R934" s="35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43"/>
      <c r="B935" s="40"/>
      <c r="C935" s="44"/>
      <c r="D935" s="45"/>
      <c r="E935" s="44"/>
      <c r="F935" s="43"/>
      <c r="G935" s="43"/>
      <c r="H935" s="43"/>
      <c r="I935" s="46"/>
      <c r="J935" s="47"/>
      <c r="K935" s="48"/>
      <c r="L935" s="49"/>
      <c r="M935" s="49"/>
      <c r="N935" s="50"/>
      <c r="O935" s="43"/>
      <c r="P935" s="43"/>
      <c r="Q935" s="44"/>
      <c r="R935" s="35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43"/>
      <c r="B936" s="40"/>
      <c r="C936" s="44"/>
      <c r="D936" s="45"/>
      <c r="E936" s="44"/>
      <c r="F936" s="43"/>
      <c r="G936" s="43"/>
      <c r="H936" s="43"/>
      <c r="I936" s="46"/>
      <c r="J936" s="47"/>
      <c r="K936" s="48"/>
      <c r="L936" s="49"/>
      <c r="M936" s="49"/>
      <c r="N936" s="50"/>
      <c r="O936" s="43"/>
      <c r="P936" s="43"/>
      <c r="Q936" s="44"/>
      <c r="R936" s="35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43"/>
      <c r="B937" s="40"/>
      <c r="C937" s="44"/>
      <c r="D937" s="45"/>
      <c r="E937" s="44"/>
      <c r="F937" s="43"/>
      <c r="G937" s="43"/>
      <c r="H937" s="43"/>
      <c r="I937" s="46"/>
      <c r="J937" s="47"/>
      <c r="K937" s="48"/>
      <c r="L937" s="49"/>
      <c r="M937" s="49"/>
      <c r="N937" s="50"/>
      <c r="O937" s="43"/>
      <c r="P937" s="43"/>
      <c r="Q937" s="44"/>
      <c r="R937" s="35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43"/>
      <c r="B938" s="40"/>
      <c r="C938" s="44"/>
      <c r="D938" s="45"/>
      <c r="E938" s="44"/>
      <c r="F938" s="43"/>
      <c r="G938" s="43"/>
      <c r="H938" s="43"/>
      <c r="I938" s="46"/>
      <c r="J938" s="47"/>
      <c r="K938" s="48"/>
      <c r="L938" s="49"/>
      <c r="M938" s="49"/>
      <c r="N938" s="50"/>
      <c r="O938" s="43"/>
      <c r="P938" s="43"/>
      <c r="Q938" s="44"/>
      <c r="R938" s="35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43"/>
      <c r="B939" s="40"/>
      <c r="C939" s="44"/>
      <c r="D939" s="45"/>
      <c r="E939" s="44"/>
      <c r="F939" s="43"/>
      <c r="G939" s="43"/>
      <c r="H939" s="43"/>
      <c r="I939" s="46"/>
      <c r="J939" s="47"/>
      <c r="K939" s="48"/>
      <c r="L939" s="49"/>
      <c r="M939" s="49"/>
      <c r="N939" s="50"/>
      <c r="O939" s="43"/>
      <c r="P939" s="43"/>
      <c r="Q939" s="44"/>
      <c r="R939" s="35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43"/>
      <c r="B940" s="40"/>
      <c r="C940" s="44"/>
      <c r="D940" s="45"/>
      <c r="E940" s="44"/>
      <c r="F940" s="43"/>
      <c r="G940" s="43"/>
      <c r="H940" s="43"/>
      <c r="I940" s="46"/>
      <c r="J940" s="47"/>
      <c r="K940" s="48"/>
      <c r="L940" s="49"/>
      <c r="M940" s="49"/>
      <c r="N940" s="50"/>
      <c r="O940" s="43"/>
      <c r="P940" s="43"/>
      <c r="Q940" s="44"/>
      <c r="R940" s="35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43"/>
      <c r="B941" s="40"/>
      <c r="C941" s="44"/>
      <c r="D941" s="45"/>
      <c r="E941" s="44"/>
      <c r="F941" s="43"/>
      <c r="G941" s="43"/>
      <c r="H941" s="43"/>
      <c r="I941" s="46"/>
      <c r="J941" s="47"/>
      <c r="K941" s="48"/>
      <c r="L941" s="49"/>
      <c r="M941" s="49"/>
      <c r="N941" s="50"/>
      <c r="O941" s="43"/>
      <c r="P941" s="43"/>
      <c r="Q941" s="44"/>
      <c r="R941" s="35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43"/>
      <c r="B942" s="40"/>
      <c r="C942" s="44"/>
      <c r="D942" s="45"/>
      <c r="E942" s="44"/>
      <c r="F942" s="43"/>
      <c r="G942" s="43"/>
      <c r="H942" s="43"/>
      <c r="I942" s="46"/>
      <c r="J942" s="47"/>
      <c r="K942" s="48"/>
      <c r="L942" s="49"/>
      <c r="M942" s="49"/>
      <c r="N942" s="50"/>
      <c r="O942" s="43"/>
      <c r="P942" s="43"/>
      <c r="Q942" s="44"/>
      <c r="R942" s="35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43"/>
      <c r="B943" s="40"/>
      <c r="C943" s="44"/>
      <c r="D943" s="45"/>
      <c r="E943" s="44"/>
      <c r="F943" s="43"/>
      <c r="G943" s="43"/>
      <c r="H943" s="43"/>
      <c r="I943" s="46"/>
      <c r="J943" s="47"/>
      <c r="K943" s="48"/>
      <c r="L943" s="49"/>
      <c r="M943" s="49"/>
      <c r="N943" s="50"/>
      <c r="O943" s="43"/>
      <c r="P943" s="43"/>
      <c r="Q943" s="44"/>
      <c r="R943" s="35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43"/>
      <c r="B944" s="40"/>
      <c r="C944" s="44"/>
      <c r="D944" s="45"/>
      <c r="E944" s="44"/>
      <c r="F944" s="43"/>
      <c r="G944" s="43"/>
      <c r="H944" s="43"/>
      <c r="I944" s="46"/>
      <c r="J944" s="47"/>
      <c r="K944" s="48"/>
      <c r="L944" s="49"/>
      <c r="M944" s="49"/>
      <c r="N944" s="50"/>
      <c r="O944" s="43"/>
      <c r="P944" s="43"/>
      <c r="Q944" s="44"/>
      <c r="R944" s="35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43"/>
      <c r="B945" s="40"/>
      <c r="C945" s="44"/>
      <c r="D945" s="45"/>
      <c r="E945" s="44"/>
      <c r="F945" s="43"/>
      <c r="G945" s="43"/>
      <c r="H945" s="43"/>
      <c r="I945" s="46"/>
      <c r="J945" s="47"/>
      <c r="K945" s="48"/>
      <c r="L945" s="49"/>
      <c r="M945" s="49"/>
      <c r="N945" s="50"/>
      <c r="O945" s="43"/>
      <c r="P945" s="43"/>
      <c r="Q945" s="44"/>
      <c r="R945" s="35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43"/>
      <c r="B946" s="40"/>
      <c r="C946" s="44"/>
      <c r="D946" s="45"/>
      <c r="E946" s="44"/>
      <c r="F946" s="43"/>
      <c r="G946" s="43"/>
      <c r="H946" s="43"/>
      <c r="I946" s="46"/>
      <c r="J946" s="47"/>
      <c r="K946" s="48"/>
      <c r="L946" s="49"/>
      <c r="M946" s="49"/>
      <c r="N946" s="50"/>
      <c r="O946" s="43"/>
      <c r="P946" s="43"/>
      <c r="Q946" s="44"/>
      <c r="R946" s="35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43"/>
      <c r="B947" s="40"/>
      <c r="C947" s="44"/>
      <c r="D947" s="45"/>
      <c r="E947" s="44"/>
      <c r="F947" s="43"/>
      <c r="G947" s="43"/>
      <c r="H947" s="43"/>
      <c r="I947" s="46"/>
      <c r="J947" s="47"/>
      <c r="K947" s="48"/>
      <c r="L947" s="49"/>
      <c r="M947" s="49"/>
      <c r="N947" s="50"/>
      <c r="O947" s="43"/>
      <c r="P947" s="43"/>
      <c r="Q947" s="44"/>
      <c r="R947" s="35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43"/>
      <c r="B948" s="40"/>
      <c r="C948" s="44"/>
      <c r="D948" s="45"/>
      <c r="E948" s="44"/>
      <c r="F948" s="43"/>
      <c r="G948" s="43"/>
      <c r="H948" s="43"/>
      <c r="I948" s="46"/>
      <c r="J948" s="47"/>
      <c r="K948" s="48"/>
      <c r="L948" s="49"/>
      <c r="M948" s="49"/>
      <c r="N948" s="50"/>
      <c r="O948" s="43"/>
      <c r="P948" s="43"/>
      <c r="Q948" s="44"/>
      <c r="R948" s="35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43"/>
      <c r="B949" s="40"/>
      <c r="C949" s="44"/>
      <c r="D949" s="45"/>
      <c r="E949" s="44"/>
      <c r="F949" s="43"/>
      <c r="G949" s="43"/>
      <c r="H949" s="43"/>
      <c r="I949" s="46"/>
      <c r="J949" s="47"/>
      <c r="K949" s="48"/>
      <c r="L949" s="49"/>
      <c r="M949" s="49"/>
      <c r="N949" s="50"/>
      <c r="O949" s="43"/>
      <c r="P949" s="43"/>
      <c r="Q949" s="44"/>
      <c r="R949" s="35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43"/>
      <c r="B950" s="40"/>
      <c r="C950" s="44"/>
      <c r="D950" s="45"/>
      <c r="E950" s="44"/>
      <c r="F950" s="43"/>
      <c r="G950" s="43"/>
      <c r="H950" s="43"/>
      <c r="I950" s="46"/>
      <c r="J950" s="47"/>
      <c r="K950" s="48"/>
      <c r="L950" s="49"/>
      <c r="M950" s="49"/>
      <c r="N950" s="50"/>
      <c r="O950" s="43"/>
      <c r="P950" s="43"/>
      <c r="Q950" s="44"/>
      <c r="R950" s="35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43"/>
      <c r="B951" s="40"/>
      <c r="C951" s="44"/>
      <c r="D951" s="45"/>
      <c r="E951" s="44"/>
      <c r="F951" s="43"/>
      <c r="G951" s="43"/>
      <c r="H951" s="43"/>
      <c r="I951" s="46"/>
      <c r="J951" s="47"/>
      <c r="K951" s="48"/>
      <c r="L951" s="49"/>
      <c r="M951" s="49"/>
      <c r="N951" s="50"/>
      <c r="O951" s="43"/>
      <c r="P951" s="43"/>
      <c r="Q951" s="44"/>
      <c r="R951" s="35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43"/>
      <c r="B952" s="40"/>
      <c r="C952" s="44"/>
      <c r="D952" s="45"/>
      <c r="E952" s="44"/>
      <c r="F952" s="43"/>
      <c r="G952" s="43"/>
      <c r="H952" s="43"/>
      <c r="I952" s="46"/>
      <c r="J952" s="47"/>
      <c r="K952" s="48"/>
      <c r="L952" s="49"/>
      <c r="M952" s="49"/>
      <c r="N952" s="50"/>
      <c r="O952" s="43"/>
      <c r="P952" s="43"/>
      <c r="Q952" s="44"/>
      <c r="R952" s="35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43"/>
      <c r="B953" s="40"/>
      <c r="C953" s="44"/>
      <c r="D953" s="45"/>
      <c r="E953" s="44"/>
      <c r="F953" s="43"/>
      <c r="G953" s="43"/>
      <c r="H953" s="43"/>
      <c r="I953" s="46"/>
      <c r="J953" s="47"/>
      <c r="K953" s="48"/>
      <c r="L953" s="49"/>
      <c r="M953" s="49"/>
      <c r="N953" s="50"/>
      <c r="O953" s="43"/>
      <c r="P953" s="43"/>
      <c r="Q953" s="44"/>
      <c r="R953" s="35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43"/>
      <c r="B954" s="40"/>
      <c r="C954" s="44"/>
      <c r="D954" s="45"/>
      <c r="E954" s="44"/>
      <c r="F954" s="43"/>
      <c r="G954" s="43"/>
      <c r="H954" s="43"/>
      <c r="I954" s="46"/>
      <c r="J954" s="47"/>
      <c r="K954" s="48"/>
      <c r="L954" s="49"/>
      <c r="M954" s="49"/>
      <c r="N954" s="50"/>
      <c r="O954" s="43"/>
      <c r="P954" s="43"/>
      <c r="Q954" s="44"/>
      <c r="R954" s="35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43"/>
      <c r="B955" s="40"/>
      <c r="C955" s="44"/>
      <c r="D955" s="45"/>
      <c r="E955" s="44"/>
      <c r="F955" s="43"/>
      <c r="G955" s="43"/>
      <c r="H955" s="43"/>
      <c r="I955" s="46"/>
      <c r="J955" s="47"/>
      <c r="K955" s="48"/>
      <c r="L955" s="49"/>
      <c r="M955" s="49"/>
      <c r="N955" s="50"/>
      <c r="O955" s="43"/>
      <c r="P955" s="43"/>
      <c r="Q955" s="44"/>
      <c r="R955" s="35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43"/>
      <c r="B956" s="40"/>
      <c r="C956" s="44"/>
      <c r="D956" s="45"/>
      <c r="E956" s="44"/>
      <c r="F956" s="43"/>
      <c r="G956" s="43"/>
      <c r="H956" s="43"/>
      <c r="I956" s="46"/>
      <c r="J956" s="47"/>
      <c r="K956" s="48"/>
      <c r="L956" s="49"/>
      <c r="M956" s="49"/>
      <c r="N956" s="50"/>
      <c r="O956" s="43"/>
      <c r="P956" s="43"/>
      <c r="Q956" s="44"/>
      <c r="R956" s="35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43"/>
      <c r="B957" s="40"/>
      <c r="C957" s="44"/>
      <c r="D957" s="45"/>
      <c r="E957" s="44"/>
      <c r="F957" s="43"/>
      <c r="G957" s="43"/>
      <c r="H957" s="43"/>
      <c r="I957" s="46"/>
      <c r="J957" s="47"/>
      <c r="K957" s="48"/>
      <c r="L957" s="49"/>
      <c r="M957" s="49"/>
      <c r="N957" s="50"/>
      <c r="O957" s="43"/>
      <c r="P957" s="43"/>
      <c r="Q957" s="44"/>
      <c r="R957" s="35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43"/>
      <c r="B958" s="40"/>
      <c r="C958" s="44"/>
      <c r="D958" s="45"/>
      <c r="E958" s="44"/>
      <c r="F958" s="43"/>
      <c r="G958" s="43"/>
      <c r="H958" s="43"/>
      <c r="I958" s="46"/>
      <c r="J958" s="47"/>
      <c r="K958" s="48"/>
      <c r="L958" s="49"/>
      <c r="M958" s="49"/>
      <c r="N958" s="50"/>
      <c r="O958" s="43"/>
      <c r="P958" s="43"/>
      <c r="Q958" s="44"/>
      <c r="R958" s="35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43"/>
      <c r="B959" s="40"/>
      <c r="C959" s="44"/>
      <c r="D959" s="45"/>
      <c r="E959" s="44"/>
      <c r="F959" s="43"/>
      <c r="G959" s="43"/>
      <c r="H959" s="43"/>
      <c r="I959" s="46"/>
      <c r="J959" s="47"/>
      <c r="K959" s="48"/>
      <c r="L959" s="49"/>
      <c r="M959" s="49"/>
      <c r="N959" s="50"/>
      <c r="O959" s="43"/>
      <c r="P959" s="43"/>
      <c r="Q959" s="44"/>
      <c r="R959" s="35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43"/>
      <c r="B960" s="40"/>
      <c r="C960" s="44"/>
      <c r="D960" s="45"/>
      <c r="E960" s="44"/>
      <c r="F960" s="43"/>
      <c r="G960" s="43"/>
      <c r="H960" s="43"/>
      <c r="I960" s="46"/>
      <c r="J960" s="47"/>
      <c r="K960" s="48"/>
      <c r="L960" s="49"/>
      <c r="M960" s="49"/>
      <c r="N960" s="50"/>
      <c r="O960" s="43"/>
      <c r="P960" s="43"/>
      <c r="Q960" s="44"/>
      <c r="R960" s="35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43"/>
      <c r="B961" s="40"/>
      <c r="C961" s="44"/>
      <c r="D961" s="45"/>
      <c r="E961" s="44"/>
      <c r="F961" s="43"/>
      <c r="G961" s="43"/>
      <c r="H961" s="43"/>
      <c r="I961" s="46"/>
      <c r="J961" s="47"/>
      <c r="K961" s="48"/>
      <c r="L961" s="49"/>
      <c r="M961" s="49"/>
      <c r="N961" s="50"/>
      <c r="O961" s="43"/>
      <c r="P961" s="43"/>
      <c r="Q961" s="44"/>
      <c r="R961" s="35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43"/>
      <c r="B962" s="40"/>
      <c r="C962" s="44"/>
      <c r="D962" s="45"/>
      <c r="E962" s="44"/>
      <c r="F962" s="43"/>
      <c r="G962" s="43"/>
      <c r="H962" s="43"/>
      <c r="I962" s="46"/>
      <c r="J962" s="47"/>
      <c r="K962" s="48"/>
      <c r="L962" s="49"/>
      <c r="M962" s="49"/>
      <c r="N962" s="50"/>
      <c r="O962" s="43"/>
      <c r="P962" s="43"/>
      <c r="Q962" s="44"/>
      <c r="R962" s="35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43"/>
      <c r="B963" s="40"/>
      <c r="C963" s="44"/>
      <c r="D963" s="45"/>
      <c r="E963" s="44"/>
      <c r="F963" s="43"/>
      <c r="G963" s="43"/>
      <c r="H963" s="43"/>
      <c r="I963" s="46"/>
      <c r="J963" s="47"/>
      <c r="K963" s="48"/>
      <c r="L963" s="49"/>
      <c r="M963" s="49"/>
      <c r="N963" s="50"/>
      <c r="O963" s="43"/>
      <c r="P963" s="43"/>
      <c r="Q963" s="44"/>
      <c r="R963" s="35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43"/>
      <c r="B964" s="40"/>
      <c r="C964" s="44"/>
      <c r="D964" s="45"/>
      <c r="E964" s="44"/>
      <c r="F964" s="43"/>
      <c r="G964" s="43"/>
      <c r="H964" s="43"/>
      <c r="I964" s="46"/>
      <c r="J964" s="47"/>
      <c r="K964" s="48"/>
      <c r="L964" s="49"/>
      <c r="M964" s="49"/>
      <c r="N964" s="50"/>
      <c r="O964" s="43"/>
      <c r="P964" s="43"/>
      <c r="Q964" s="44"/>
      <c r="R964" s="35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43"/>
      <c r="B965" s="40"/>
      <c r="C965" s="44"/>
      <c r="D965" s="45"/>
      <c r="E965" s="44"/>
      <c r="F965" s="43"/>
      <c r="G965" s="43"/>
      <c r="H965" s="43"/>
      <c r="I965" s="46"/>
      <c r="J965" s="47"/>
      <c r="K965" s="48"/>
      <c r="L965" s="49"/>
      <c r="M965" s="49"/>
      <c r="N965" s="50"/>
      <c r="O965" s="43"/>
      <c r="P965" s="43"/>
      <c r="Q965" s="44"/>
      <c r="R965" s="35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43"/>
      <c r="B966" s="40"/>
      <c r="C966" s="44"/>
      <c r="D966" s="45"/>
      <c r="E966" s="44"/>
      <c r="F966" s="43"/>
      <c r="G966" s="43"/>
      <c r="H966" s="43"/>
      <c r="I966" s="46"/>
      <c r="J966" s="47"/>
      <c r="K966" s="48"/>
      <c r="L966" s="49"/>
      <c r="M966" s="49"/>
      <c r="N966" s="50"/>
      <c r="O966" s="43"/>
      <c r="P966" s="43"/>
      <c r="Q966" s="44"/>
      <c r="R966" s="35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43"/>
      <c r="B967" s="40"/>
      <c r="C967" s="44"/>
      <c r="D967" s="45"/>
      <c r="E967" s="44"/>
      <c r="F967" s="43"/>
      <c r="G967" s="43"/>
      <c r="H967" s="43"/>
      <c r="I967" s="46"/>
      <c r="J967" s="47"/>
      <c r="K967" s="48"/>
      <c r="L967" s="49"/>
      <c r="M967" s="49"/>
      <c r="N967" s="50"/>
      <c r="O967" s="43"/>
      <c r="P967" s="43"/>
      <c r="Q967" s="44"/>
      <c r="R967" s="35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43"/>
      <c r="B968" s="40"/>
      <c r="C968" s="44"/>
      <c r="D968" s="45"/>
      <c r="E968" s="44"/>
      <c r="F968" s="43"/>
      <c r="G968" s="43"/>
      <c r="H968" s="43"/>
      <c r="I968" s="46"/>
      <c r="J968" s="47"/>
      <c r="K968" s="48"/>
      <c r="L968" s="49"/>
      <c r="M968" s="49"/>
      <c r="N968" s="50"/>
      <c r="O968" s="43"/>
      <c r="P968" s="43"/>
      <c r="Q968" s="44"/>
      <c r="R968" s="35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43"/>
      <c r="B969" s="40"/>
      <c r="C969" s="44"/>
      <c r="D969" s="45"/>
      <c r="E969" s="44"/>
      <c r="F969" s="43"/>
      <c r="G969" s="43"/>
      <c r="H969" s="43"/>
      <c r="I969" s="46"/>
      <c r="J969" s="47"/>
      <c r="K969" s="48"/>
      <c r="L969" s="49"/>
      <c r="M969" s="49"/>
      <c r="N969" s="50"/>
      <c r="O969" s="43"/>
      <c r="P969" s="43"/>
      <c r="Q969" s="44"/>
      <c r="R969" s="35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43"/>
      <c r="B970" s="40"/>
      <c r="C970" s="44"/>
      <c r="D970" s="45"/>
      <c r="E970" s="44"/>
      <c r="F970" s="43"/>
      <c r="G970" s="43"/>
      <c r="H970" s="43"/>
      <c r="I970" s="46"/>
      <c r="J970" s="47"/>
      <c r="K970" s="48"/>
      <c r="L970" s="49"/>
      <c r="M970" s="49"/>
      <c r="N970" s="50"/>
      <c r="O970" s="43"/>
      <c r="P970" s="43"/>
      <c r="Q970" s="44"/>
      <c r="R970" s="35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43"/>
      <c r="B971" s="40"/>
      <c r="C971" s="44"/>
      <c r="D971" s="45"/>
      <c r="E971" s="44"/>
      <c r="F971" s="43"/>
      <c r="G971" s="43"/>
      <c r="H971" s="43"/>
      <c r="I971" s="46"/>
      <c r="J971" s="47"/>
      <c r="K971" s="48"/>
      <c r="L971" s="49"/>
      <c r="M971" s="49"/>
      <c r="N971" s="50"/>
      <c r="O971" s="43"/>
      <c r="P971" s="43"/>
      <c r="Q971" s="44"/>
      <c r="R971" s="35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43"/>
      <c r="B972" s="40"/>
      <c r="C972" s="44"/>
      <c r="D972" s="45"/>
      <c r="E972" s="44"/>
      <c r="F972" s="43"/>
      <c r="G972" s="43"/>
      <c r="H972" s="43"/>
      <c r="I972" s="46"/>
      <c r="J972" s="47"/>
      <c r="K972" s="48"/>
      <c r="L972" s="49"/>
      <c r="M972" s="49"/>
      <c r="N972" s="50"/>
      <c r="O972" s="43"/>
      <c r="P972" s="43"/>
      <c r="Q972" s="44"/>
      <c r="R972" s="35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43"/>
      <c r="B973" s="40"/>
      <c r="C973" s="44"/>
      <c r="D973" s="45"/>
      <c r="E973" s="44"/>
      <c r="F973" s="43"/>
      <c r="G973" s="43"/>
      <c r="H973" s="43"/>
      <c r="I973" s="46"/>
      <c r="J973" s="47"/>
      <c r="K973" s="48"/>
      <c r="L973" s="49"/>
      <c r="M973" s="49"/>
      <c r="N973" s="50"/>
      <c r="O973" s="43"/>
      <c r="P973" s="43"/>
      <c r="Q973" s="44"/>
      <c r="R973" s="35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43"/>
      <c r="B974" s="40"/>
      <c r="C974" s="44"/>
      <c r="D974" s="45"/>
      <c r="E974" s="44"/>
      <c r="F974" s="43"/>
      <c r="G974" s="43"/>
      <c r="H974" s="43"/>
      <c r="I974" s="46"/>
      <c r="J974" s="47"/>
      <c r="K974" s="48"/>
      <c r="L974" s="49"/>
      <c r="M974" s="49"/>
      <c r="N974" s="50"/>
      <c r="O974" s="43"/>
      <c r="P974" s="43"/>
      <c r="Q974" s="44"/>
      <c r="R974" s="35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43"/>
      <c r="B975" s="40"/>
      <c r="C975" s="44"/>
      <c r="D975" s="45"/>
      <c r="E975" s="44"/>
      <c r="F975" s="43"/>
      <c r="G975" s="43"/>
      <c r="H975" s="43"/>
      <c r="I975" s="46"/>
      <c r="J975" s="47"/>
      <c r="K975" s="48"/>
      <c r="L975" s="49"/>
      <c r="M975" s="49"/>
      <c r="N975" s="50"/>
      <c r="O975" s="43"/>
      <c r="P975" s="43"/>
      <c r="Q975" s="44"/>
      <c r="R975" s="35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43"/>
      <c r="B976" s="40"/>
      <c r="C976" s="44"/>
      <c r="D976" s="45"/>
      <c r="E976" s="44"/>
      <c r="F976" s="43"/>
      <c r="G976" s="43"/>
      <c r="H976" s="43"/>
      <c r="I976" s="46"/>
      <c r="J976" s="47"/>
      <c r="K976" s="48"/>
      <c r="L976" s="49"/>
      <c r="M976" s="49"/>
      <c r="N976" s="50"/>
      <c r="O976" s="43"/>
      <c r="P976" s="43"/>
      <c r="Q976" s="44"/>
      <c r="R976" s="35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43"/>
      <c r="B977" s="40"/>
      <c r="C977" s="44"/>
      <c r="D977" s="45"/>
      <c r="E977" s="44"/>
      <c r="F977" s="43"/>
      <c r="G977" s="43"/>
      <c r="H977" s="43"/>
      <c r="I977" s="46"/>
      <c r="J977" s="47"/>
      <c r="K977" s="48"/>
      <c r="L977" s="49"/>
      <c r="M977" s="49"/>
      <c r="N977" s="50"/>
      <c r="O977" s="43"/>
      <c r="P977" s="43"/>
      <c r="Q977" s="44"/>
      <c r="R977" s="35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43"/>
      <c r="B978" s="40"/>
      <c r="C978" s="44"/>
      <c r="D978" s="45"/>
      <c r="E978" s="44"/>
      <c r="F978" s="43"/>
      <c r="G978" s="43"/>
      <c r="H978" s="43"/>
      <c r="I978" s="46"/>
      <c r="J978" s="47"/>
      <c r="K978" s="48"/>
      <c r="L978" s="49"/>
      <c r="M978" s="49"/>
      <c r="N978" s="50"/>
      <c r="O978" s="43"/>
      <c r="P978" s="43"/>
      <c r="Q978" s="44"/>
      <c r="R978" s="35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43"/>
      <c r="B979" s="40"/>
      <c r="C979" s="44"/>
      <c r="D979" s="45"/>
      <c r="E979" s="44"/>
      <c r="F979" s="43"/>
      <c r="G979" s="43"/>
      <c r="H979" s="43"/>
      <c r="I979" s="46"/>
      <c r="J979" s="47"/>
      <c r="K979" s="48"/>
      <c r="L979" s="49"/>
      <c r="M979" s="49"/>
      <c r="N979" s="50"/>
      <c r="O979" s="43"/>
      <c r="P979" s="43"/>
      <c r="Q979" s="44"/>
      <c r="R979" s="35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43"/>
      <c r="B980" s="40"/>
      <c r="C980" s="44"/>
      <c r="D980" s="45"/>
      <c r="E980" s="44"/>
      <c r="F980" s="43"/>
      <c r="G980" s="43"/>
      <c r="H980" s="43"/>
      <c r="I980" s="46"/>
      <c r="J980" s="47"/>
      <c r="K980" s="48"/>
      <c r="L980" s="49"/>
      <c r="M980" s="49"/>
      <c r="N980" s="50"/>
      <c r="O980" s="43"/>
      <c r="P980" s="43"/>
      <c r="Q980" s="44"/>
      <c r="R980" s="35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43"/>
      <c r="B981" s="40"/>
      <c r="C981" s="44"/>
      <c r="D981" s="45"/>
      <c r="E981" s="44"/>
      <c r="F981" s="43"/>
      <c r="G981" s="43"/>
      <c r="H981" s="43"/>
      <c r="I981" s="46"/>
      <c r="J981" s="47"/>
      <c r="K981" s="48"/>
      <c r="L981" s="49"/>
      <c r="M981" s="49"/>
      <c r="N981" s="50"/>
      <c r="O981" s="43"/>
      <c r="P981" s="43"/>
      <c r="Q981" s="44"/>
      <c r="R981" s="35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43"/>
      <c r="B982" s="40"/>
      <c r="C982" s="44"/>
      <c r="D982" s="45"/>
      <c r="E982" s="44"/>
      <c r="F982" s="43"/>
      <c r="G982" s="43"/>
      <c r="H982" s="43"/>
      <c r="I982" s="46"/>
      <c r="J982" s="47"/>
      <c r="K982" s="48"/>
      <c r="L982" s="49"/>
      <c r="M982" s="49"/>
      <c r="N982" s="50"/>
      <c r="O982" s="43"/>
      <c r="P982" s="43"/>
      <c r="Q982" s="44"/>
      <c r="R982" s="35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43"/>
      <c r="B983" s="40"/>
      <c r="C983" s="44"/>
      <c r="D983" s="45"/>
      <c r="E983" s="44"/>
      <c r="F983" s="43"/>
      <c r="G983" s="43"/>
      <c r="H983" s="43"/>
      <c r="I983" s="46"/>
      <c r="J983" s="47"/>
      <c r="K983" s="48"/>
      <c r="L983" s="49"/>
      <c r="M983" s="49"/>
      <c r="N983" s="50"/>
      <c r="O983" s="43"/>
      <c r="P983" s="43"/>
      <c r="Q983" s="44"/>
      <c r="R983" s="35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43"/>
      <c r="B984" s="40"/>
      <c r="C984" s="44"/>
      <c r="D984" s="45"/>
      <c r="E984" s="44"/>
      <c r="F984" s="43"/>
      <c r="G984" s="43"/>
      <c r="H984" s="43"/>
      <c r="I984" s="46"/>
      <c r="J984" s="47"/>
      <c r="K984" s="48"/>
      <c r="L984" s="49"/>
      <c r="M984" s="49"/>
      <c r="N984" s="50"/>
      <c r="O984" s="43"/>
      <c r="P984" s="43"/>
      <c r="Q984" s="44"/>
      <c r="R984" s="35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43"/>
      <c r="B985" s="40"/>
      <c r="C985" s="44"/>
      <c r="D985" s="45"/>
      <c r="E985" s="44"/>
      <c r="F985" s="43"/>
      <c r="G985" s="43"/>
      <c r="H985" s="43"/>
      <c r="I985" s="46"/>
      <c r="J985" s="47"/>
      <c r="K985" s="48"/>
      <c r="L985" s="49"/>
      <c r="M985" s="49"/>
      <c r="N985" s="50"/>
      <c r="O985" s="43"/>
      <c r="P985" s="43"/>
      <c r="Q985" s="44"/>
      <c r="R985" s="35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43"/>
      <c r="B986" s="40"/>
      <c r="C986" s="44"/>
      <c r="D986" s="45"/>
      <c r="E986" s="44"/>
      <c r="F986" s="43"/>
      <c r="G986" s="43"/>
      <c r="H986" s="43"/>
      <c r="I986" s="46"/>
      <c r="J986" s="47"/>
      <c r="K986" s="48"/>
      <c r="L986" s="49"/>
      <c r="M986" s="49"/>
      <c r="N986" s="50"/>
      <c r="O986" s="43"/>
      <c r="P986" s="43"/>
      <c r="Q986" s="44"/>
      <c r="R986" s="35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43"/>
      <c r="B987" s="40"/>
      <c r="C987" s="44"/>
      <c r="D987" s="45"/>
      <c r="E987" s="44"/>
      <c r="F987" s="43"/>
      <c r="G987" s="43"/>
      <c r="H987" s="43"/>
      <c r="I987" s="46"/>
      <c r="J987" s="47"/>
      <c r="K987" s="48"/>
      <c r="L987" s="49"/>
      <c r="M987" s="49"/>
      <c r="N987" s="50"/>
      <c r="O987" s="43"/>
      <c r="P987" s="43"/>
      <c r="Q987" s="44"/>
      <c r="R987" s="35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43"/>
      <c r="B988" s="40"/>
      <c r="C988" s="44"/>
      <c r="D988" s="45"/>
      <c r="E988" s="44"/>
      <c r="F988" s="43"/>
      <c r="G988" s="43"/>
      <c r="H988" s="43"/>
      <c r="I988" s="46"/>
      <c r="J988" s="47"/>
      <c r="K988" s="48"/>
      <c r="L988" s="49"/>
      <c r="M988" s="49"/>
      <c r="N988" s="50"/>
      <c r="O988" s="43"/>
      <c r="P988" s="43"/>
      <c r="Q988" s="44"/>
      <c r="R988" s="35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43"/>
      <c r="B989" s="40"/>
      <c r="C989" s="44"/>
      <c r="D989" s="45"/>
      <c r="E989" s="44"/>
      <c r="F989" s="43"/>
      <c r="G989" s="43"/>
      <c r="H989" s="43"/>
      <c r="I989" s="46"/>
      <c r="J989" s="47"/>
      <c r="K989" s="48"/>
      <c r="L989" s="49"/>
      <c r="M989" s="49"/>
      <c r="N989" s="50"/>
      <c r="O989" s="43"/>
      <c r="P989" s="43"/>
      <c r="Q989" s="44"/>
      <c r="R989" s="35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5.0"/>
    <col customWidth="1" min="3" max="3" width="9.5"/>
    <col customWidth="1" min="4" max="4" width="43.13"/>
    <col customWidth="1" min="5" max="5" width="7.63"/>
    <col customWidth="1" hidden="1" min="6" max="7" width="7.75"/>
    <col customWidth="1" min="8" max="8" width="8.25"/>
    <col customWidth="1" hidden="1" min="9" max="9" width="7.5"/>
    <col customWidth="1" min="10" max="11" width="9.38"/>
    <col customWidth="1" min="12" max="12" width="11.88"/>
    <col customWidth="1" min="13" max="13" width="3.38"/>
    <col customWidth="1" hidden="1" min="14" max="14" width="9.88"/>
    <col customWidth="1" min="15" max="15" width="5.25"/>
    <col customWidth="1" hidden="1" min="16" max="16" width="9.88"/>
    <col customWidth="1" hidden="1" min="17" max="17" width="10.25"/>
    <col customWidth="1" hidden="1" min="18" max="18" width="6.0"/>
    <col customWidth="1" hidden="1" min="19" max="23" width="7.63"/>
    <col customWidth="1" min="24" max="31" width="7.63"/>
  </cols>
  <sheetData>
    <row r="1" ht="39.0" customHeight="1">
      <c r="A1" s="60" t="s">
        <v>103</v>
      </c>
      <c r="B1" s="60" t="s">
        <v>340</v>
      </c>
      <c r="C1" s="61" t="s">
        <v>341</v>
      </c>
      <c r="D1" s="60" t="s">
        <v>342</v>
      </c>
      <c r="E1" s="62" t="s">
        <v>343</v>
      </c>
      <c r="F1" s="63" t="s">
        <v>344</v>
      </c>
      <c r="G1" s="61" t="s">
        <v>345</v>
      </c>
      <c r="H1" s="60" t="s">
        <v>346</v>
      </c>
      <c r="I1" s="64" t="s">
        <v>347</v>
      </c>
      <c r="J1" s="65" t="s">
        <v>347</v>
      </c>
      <c r="K1" s="66" t="s">
        <v>347</v>
      </c>
      <c r="L1" s="67" t="s">
        <v>10</v>
      </c>
      <c r="M1" s="68" t="s">
        <v>11</v>
      </c>
      <c r="N1" s="69" t="s">
        <v>12</v>
      </c>
      <c r="O1" s="70" t="s">
        <v>348</v>
      </c>
      <c r="P1" s="71" t="s">
        <v>349</v>
      </c>
      <c r="Q1" s="72" t="s">
        <v>350</v>
      </c>
      <c r="R1" s="72" t="s">
        <v>351</v>
      </c>
      <c r="S1" s="73" t="s">
        <v>352</v>
      </c>
      <c r="T1" s="60" t="s">
        <v>353</v>
      </c>
      <c r="U1" s="60" t="s">
        <v>354</v>
      </c>
      <c r="V1" s="74" t="s">
        <v>355</v>
      </c>
      <c r="W1" s="75"/>
      <c r="X1" s="76"/>
      <c r="Y1" s="76"/>
      <c r="Z1" s="76"/>
      <c r="AA1" s="76"/>
      <c r="AB1" s="76"/>
      <c r="AC1" s="76"/>
      <c r="AD1" s="76"/>
      <c r="AE1" s="76"/>
    </row>
    <row r="2" ht="15.0" customHeight="1">
      <c r="A2" s="60" t="s">
        <v>356</v>
      </c>
      <c r="B2" s="60"/>
      <c r="C2" s="61"/>
      <c r="D2" s="60"/>
      <c r="E2" s="62"/>
      <c r="F2" s="63"/>
      <c r="G2" s="61"/>
      <c r="H2" s="60"/>
      <c r="I2" s="77">
        <v>0.18</v>
      </c>
      <c r="J2" s="78">
        <v>0.18</v>
      </c>
      <c r="K2" s="79">
        <v>0.18</v>
      </c>
      <c r="L2" s="67"/>
      <c r="M2" s="68"/>
      <c r="N2" s="69"/>
      <c r="O2" s="70">
        <v>17000.0</v>
      </c>
      <c r="P2" s="71"/>
      <c r="Q2" s="72"/>
      <c r="R2" s="72"/>
      <c r="S2" s="73"/>
      <c r="T2" s="60"/>
      <c r="U2" s="60"/>
      <c r="V2" s="75">
        <f t="shared" ref="V2:W2" si="1">18%</f>
        <v>0.18</v>
      </c>
      <c r="W2" s="75">
        <f t="shared" si="1"/>
        <v>0.18</v>
      </c>
      <c r="X2" s="76"/>
      <c r="Y2" s="76"/>
      <c r="Z2" s="76"/>
      <c r="AA2" s="76"/>
      <c r="AB2" s="76"/>
      <c r="AC2" s="76"/>
      <c r="AD2" s="76"/>
      <c r="AE2" s="76"/>
    </row>
    <row r="3" ht="15.0" customHeight="1">
      <c r="A3" s="80" t="s">
        <v>357</v>
      </c>
      <c r="B3" s="16"/>
      <c r="C3" s="16"/>
      <c r="D3" s="16"/>
      <c r="E3" s="16"/>
      <c r="F3" s="16"/>
      <c r="G3" s="16"/>
      <c r="H3" s="17"/>
      <c r="I3" s="81"/>
      <c r="J3" s="82"/>
      <c r="K3" s="83"/>
      <c r="L3" s="84"/>
      <c r="M3" s="85"/>
      <c r="N3" s="86"/>
      <c r="O3" s="87"/>
      <c r="P3" s="88" t="s">
        <v>358</v>
      </c>
      <c r="S3" s="73" t="s">
        <v>359</v>
      </c>
      <c r="T3" s="89"/>
      <c r="U3" s="89"/>
      <c r="V3" s="90"/>
      <c r="W3" s="89"/>
      <c r="X3" s="89"/>
      <c r="Y3" s="89"/>
      <c r="Z3" s="89"/>
      <c r="AA3" s="89"/>
      <c r="AB3" s="89"/>
      <c r="AC3" s="89"/>
      <c r="AD3" s="89"/>
      <c r="AE3" s="89"/>
    </row>
    <row r="4" ht="15.0" customHeight="1">
      <c r="A4" s="91" t="s">
        <v>360</v>
      </c>
      <c r="B4" s="92" t="s">
        <v>361</v>
      </c>
      <c r="C4" s="93" t="s">
        <v>362</v>
      </c>
      <c r="D4" s="92" t="s">
        <v>363</v>
      </c>
      <c r="E4" s="94">
        <v>24.0</v>
      </c>
      <c r="F4" s="95">
        <v>42000.0</v>
      </c>
      <c r="G4" s="96">
        <v>3000.0</v>
      </c>
      <c r="H4" s="97">
        <v>45000.0</v>
      </c>
      <c r="I4" s="98">
        <f t="shared" ref="I4:I95" si="2">H4-(H4*I$2)
</f>
        <v>36900</v>
      </c>
      <c r="J4" s="99">
        <v>36900.0</v>
      </c>
      <c r="K4" s="100">
        <f t="shared" ref="K4:K95" si="3">J4-(J4*K$2)
</f>
        <v>30258</v>
      </c>
      <c r="L4" s="101">
        <f t="shared" ref="L4:L36" si="4">J4*E4</f>
        <v>885600</v>
      </c>
      <c r="M4" s="102">
        <v>250.0</v>
      </c>
      <c r="N4" s="103">
        <f t="shared" ref="N4:N36" si="5">L4*M4</f>
        <v>221400000</v>
      </c>
      <c r="O4" s="104">
        <f>ROUNDUP(H4/$O$2,0)</f>
        <v>3</v>
      </c>
      <c r="P4" s="105" t="s">
        <v>364</v>
      </c>
      <c r="Q4" s="105" t="s">
        <v>365</v>
      </c>
      <c r="R4" s="105">
        <v>0.247</v>
      </c>
      <c r="S4" s="106" t="s">
        <v>366</v>
      </c>
      <c r="T4" s="106" t="s">
        <v>367</v>
      </c>
      <c r="U4" s="107" t="s">
        <v>368</v>
      </c>
      <c r="V4" s="108">
        <f t="shared" ref="V4:V36" si="6">H4-(H4*$W$2%)</f>
        <v>44919</v>
      </c>
      <c r="W4" s="108">
        <f t="shared" ref="W4:W36" si="7">J4-(J4*$W$2%)</f>
        <v>36833.58</v>
      </c>
      <c r="X4" s="90"/>
      <c r="Y4" s="90"/>
      <c r="Z4" s="90"/>
      <c r="AA4" s="90"/>
      <c r="AB4" s="90"/>
      <c r="AC4" s="90"/>
      <c r="AD4" s="90"/>
      <c r="AE4" s="90"/>
    </row>
    <row r="5" ht="15.0" customHeight="1">
      <c r="A5" s="91" t="s">
        <v>369</v>
      </c>
      <c r="B5" s="92" t="s">
        <v>370</v>
      </c>
      <c r="C5" s="93" t="s">
        <v>371</v>
      </c>
      <c r="D5" s="92" t="s">
        <v>372</v>
      </c>
      <c r="E5" s="94">
        <v>24.0</v>
      </c>
      <c r="F5" s="95">
        <v>43000.0</v>
      </c>
      <c r="G5" s="96">
        <v>3000.0</v>
      </c>
      <c r="H5" s="97">
        <v>46000.0</v>
      </c>
      <c r="I5" s="98">
        <f t="shared" si="2"/>
        <v>37720</v>
      </c>
      <c r="J5" s="99">
        <v>37720.0</v>
      </c>
      <c r="K5" s="100">
        <f t="shared" si="3"/>
        <v>30930.4</v>
      </c>
      <c r="L5" s="101">
        <f t="shared" si="4"/>
        <v>905280</v>
      </c>
      <c r="M5" s="102">
        <v>250.0</v>
      </c>
      <c r="N5" s="103">
        <f t="shared" si="5"/>
        <v>226320000</v>
      </c>
      <c r="O5" s="104">
        <f>ROUNDUP(H5/O2,0)</f>
        <v>3</v>
      </c>
      <c r="P5" s="105" t="s">
        <v>373</v>
      </c>
      <c r="Q5" s="105" t="s">
        <v>374</v>
      </c>
      <c r="R5" s="105">
        <v>0.247</v>
      </c>
      <c r="S5" s="106" t="s">
        <v>375</v>
      </c>
      <c r="T5" s="106" t="s">
        <v>367</v>
      </c>
      <c r="U5" s="107" t="s">
        <v>376</v>
      </c>
      <c r="V5" s="108">
        <f t="shared" si="6"/>
        <v>45917.2</v>
      </c>
      <c r="W5" s="108">
        <f t="shared" si="7"/>
        <v>37652.104</v>
      </c>
      <c r="X5" s="90"/>
      <c r="Y5" s="90"/>
      <c r="Z5" s="90"/>
      <c r="AA5" s="90"/>
      <c r="AB5" s="90"/>
      <c r="AC5" s="90"/>
      <c r="AD5" s="90"/>
      <c r="AE5" s="90"/>
    </row>
    <row r="6" ht="15.0" customHeight="1">
      <c r="A6" s="91" t="s">
        <v>377</v>
      </c>
      <c r="B6" s="109" t="s">
        <v>378</v>
      </c>
      <c r="C6" s="110" t="s">
        <v>379</v>
      </c>
      <c r="D6" s="109" t="s">
        <v>380</v>
      </c>
      <c r="E6" s="111">
        <v>12.0</v>
      </c>
      <c r="F6" s="112">
        <v>52000.0</v>
      </c>
      <c r="G6" s="113">
        <v>3000.0</v>
      </c>
      <c r="H6" s="114">
        <v>55000.0</v>
      </c>
      <c r="I6" s="98">
        <f t="shared" si="2"/>
        <v>45100</v>
      </c>
      <c r="J6" s="99">
        <v>45100.0</v>
      </c>
      <c r="K6" s="100">
        <f t="shared" si="3"/>
        <v>36982</v>
      </c>
      <c r="L6" s="101">
        <f t="shared" si="4"/>
        <v>541200</v>
      </c>
      <c r="M6" s="102">
        <v>250.0</v>
      </c>
      <c r="N6" s="115">
        <f t="shared" si="5"/>
        <v>135300000</v>
      </c>
      <c r="O6" s="104">
        <f t="shared" ref="O6:O36" si="8">ROUNDUP(H6/$O$2,0)</f>
        <v>4</v>
      </c>
      <c r="P6" s="116" t="s">
        <v>381</v>
      </c>
      <c r="Q6" s="116" t="s">
        <v>382</v>
      </c>
      <c r="R6" s="116">
        <v>0.146</v>
      </c>
      <c r="S6" s="117" t="s">
        <v>383</v>
      </c>
      <c r="T6" s="117" t="s">
        <v>384</v>
      </c>
      <c r="U6" s="118" t="s">
        <v>385</v>
      </c>
      <c r="V6" s="108">
        <f t="shared" si="6"/>
        <v>54901</v>
      </c>
      <c r="W6" s="108">
        <f t="shared" si="7"/>
        <v>45018.82</v>
      </c>
      <c r="X6" s="119"/>
      <c r="Y6" s="119"/>
      <c r="Z6" s="119"/>
      <c r="AA6" s="119"/>
      <c r="AB6" s="119"/>
      <c r="AC6" s="119"/>
      <c r="AD6" s="119"/>
      <c r="AE6" s="119"/>
    </row>
    <row r="7" ht="15.0" customHeight="1">
      <c r="A7" s="91" t="s">
        <v>386</v>
      </c>
      <c r="B7" s="109" t="s">
        <v>387</v>
      </c>
      <c r="C7" s="110" t="s">
        <v>388</v>
      </c>
      <c r="D7" s="109" t="s">
        <v>389</v>
      </c>
      <c r="E7" s="111">
        <v>12.0</v>
      </c>
      <c r="F7" s="112">
        <v>52000.0</v>
      </c>
      <c r="G7" s="113">
        <v>3000.0</v>
      </c>
      <c r="H7" s="114">
        <v>55000.0</v>
      </c>
      <c r="I7" s="98">
        <f t="shared" si="2"/>
        <v>45100</v>
      </c>
      <c r="J7" s="99">
        <v>45100.0</v>
      </c>
      <c r="K7" s="100">
        <f t="shared" si="3"/>
        <v>36982</v>
      </c>
      <c r="L7" s="101">
        <f t="shared" si="4"/>
        <v>541200</v>
      </c>
      <c r="M7" s="102">
        <v>250.0</v>
      </c>
      <c r="N7" s="115">
        <f t="shared" si="5"/>
        <v>135300000</v>
      </c>
      <c r="O7" s="104">
        <f t="shared" si="8"/>
        <v>4</v>
      </c>
      <c r="P7" s="116" t="s">
        <v>381</v>
      </c>
      <c r="Q7" s="116" t="s">
        <v>382</v>
      </c>
      <c r="R7" s="116">
        <v>0.146</v>
      </c>
      <c r="S7" s="117" t="s">
        <v>383</v>
      </c>
      <c r="T7" s="117" t="s">
        <v>384</v>
      </c>
      <c r="U7" s="118" t="s">
        <v>390</v>
      </c>
      <c r="V7" s="108">
        <f t="shared" si="6"/>
        <v>54901</v>
      </c>
      <c r="W7" s="108">
        <f t="shared" si="7"/>
        <v>45018.82</v>
      </c>
      <c r="X7" s="119"/>
      <c r="Y7" s="119"/>
      <c r="Z7" s="119"/>
      <c r="AA7" s="119"/>
      <c r="AB7" s="119"/>
      <c r="AC7" s="119"/>
      <c r="AD7" s="119"/>
      <c r="AE7" s="119"/>
    </row>
    <row r="8" ht="15.0" customHeight="1">
      <c r="A8" s="91" t="s">
        <v>391</v>
      </c>
      <c r="B8" s="109" t="s">
        <v>392</v>
      </c>
      <c r="C8" s="110" t="s">
        <v>393</v>
      </c>
      <c r="D8" s="109" t="s">
        <v>394</v>
      </c>
      <c r="E8" s="111">
        <v>12.0</v>
      </c>
      <c r="F8" s="112">
        <v>52000.0</v>
      </c>
      <c r="G8" s="113">
        <v>3000.0</v>
      </c>
      <c r="H8" s="114">
        <v>55000.0</v>
      </c>
      <c r="I8" s="98">
        <f t="shared" si="2"/>
        <v>45100</v>
      </c>
      <c r="J8" s="99">
        <v>45100.0</v>
      </c>
      <c r="K8" s="100">
        <f t="shared" si="3"/>
        <v>36982</v>
      </c>
      <c r="L8" s="101">
        <f t="shared" si="4"/>
        <v>541200</v>
      </c>
      <c r="M8" s="102">
        <v>250.0</v>
      </c>
      <c r="N8" s="115">
        <f t="shared" si="5"/>
        <v>135300000</v>
      </c>
      <c r="O8" s="104">
        <f t="shared" si="8"/>
        <v>4</v>
      </c>
      <c r="P8" s="116" t="s">
        <v>381</v>
      </c>
      <c r="Q8" s="116" t="s">
        <v>382</v>
      </c>
      <c r="R8" s="116">
        <v>0.146</v>
      </c>
      <c r="S8" s="117" t="s">
        <v>383</v>
      </c>
      <c r="T8" s="117" t="s">
        <v>384</v>
      </c>
      <c r="U8" s="118" t="s">
        <v>395</v>
      </c>
      <c r="V8" s="108">
        <f t="shared" si="6"/>
        <v>54901</v>
      </c>
      <c r="W8" s="108">
        <f t="shared" si="7"/>
        <v>45018.82</v>
      </c>
      <c r="X8" s="119"/>
      <c r="Y8" s="119"/>
      <c r="Z8" s="119"/>
      <c r="AA8" s="119"/>
      <c r="AB8" s="119"/>
      <c r="AC8" s="119"/>
      <c r="AD8" s="119"/>
      <c r="AE8" s="119"/>
    </row>
    <row r="9" ht="15.0" customHeight="1">
      <c r="A9" s="91" t="s">
        <v>396</v>
      </c>
      <c r="B9" s="109" t="s">
        <v>397</v>
      </c>
      <c r="C9" s="110" t="s">
        <v>398</v>
      </c>
      <c r="D9" s="109" t="s">
        <v>399</v>
      </c>
      <c r="E9" s="111">
        <v>12.0</v>
      </c>
      <c r="F9" s="112">
        <v>52000.0</v>
      </c>
      <c r="G9" s="113">
        <v>3000.0</v>
      </c>
      <c r="H9" s="114">
        <v>55000.0</v>
      </c>
      <c r="I9" s="98">
        <f t="shared" si="2"/>
        <v>45100</v>
      </c>
      <c r="J9" s="99">
        <v>45100.0</v>
      </c>
      <c r="K9" s="100">
        <f t="shared" si="3"/>
        <v>36982</v>
      </c>
      <c r="L9" s="101">
        <f t="shared" si="4"/>
        <v>541200</v>
      </c>
      <c r="M9" s="102">
        <v>250.0</v>
      </c>
      <c r="N9" s="115">
        <f t="shared" si="5"/>
        <v>135300000</v>
      </c>
      <c r="O9" s="104">
        <f t="shared" si="8"/>
        <v>4</v>
      </c>
      <c r="P9" s="116" t="s">
        <v>381</v>
      </c>
      <c r="Q9" s="116" t="s">
        <v>382</v>
      </c>
      <c r="R9" s="116">
        <v>0.146</v>
      </c>
      <c r="S9" s="117" t="s">
        <v>383</v>
      </c>
      <c r="T9" s="117" t="s">
        <v>384</v>
      </c>
      <c r="U9" s="120" t="s">
        <v>400</v>
      </c>
      <c r="V9" s="108">
        <f t="shared" si="6"/>
        <v>54901</v>
      </c>
      <c r="W9" s="108">
        <f t="shared" si="7"/>
        <v>45018.82</v>
      </c>
      <c r="X9" s="119"/>
      <c r="Y9" s="119"/>
      <c r="Z9" s="119"/>
      <c r="AA9" s="119"/>
      <c r="AB9" s="119"/>
      <c r="AC9" s="119"/>
      <c r="AD9" s="119"/>
      <c r="AE9" s="119"/>
    </row>
    <row r="10" ht="15.0" customHeight="1">
      <c r="A10" s="121" t="s">
        <v>401</v>
      </c>
      <c r="B10" s="122" t="s">
        <v>402</v>
      </c>
      <c r="C10" s="122" t="s">
        <v>403</v>
      </c>
      <c r="D10" s="122" t="s">
        <v>404</v>
      </c>
      <c r="E10" s="123">
        <v>12.0</v>
      </c>
      <c r="F10" s="124">
        <v>55000.0</v>
      </c>
      <c r="G10" s="125">
        <v>3000.0</v>
      </c>
      <c r="H10" s="126">
        <v>58000.0</v>
      </c>
      <c r="I10" s="98">
        <f t="shared" si="2"/>
        <v>47560</v>
      </c>
      <c r="J10" s="99">
        <v>47560.0</v>
      </c>
      <c r="K10" s="100">
        <f t="shared" si="3"/>
        <v>38999.2</v>
      </c>
      <c r="L10" s="101">
        <f t="shared" si="4"/>
        <v>570720</v>
      </c>
      <c r="M10" s="102">
        <v>250.0</v>
      </c>
      <c r="N10" s="127">
        <f t="shared" si="5"/>
        <v>142680000</v>
      </c>
      <c r="O10" s="104">
        <f t="shared" si="8"/>
        <v>4</v>
      </c>
      <c r="P10" s="128" t="s">
        <v>381</v>
      </c>
      <c r="Q10" s="128" t="s">
        <v>382</v>
      </c>
      <c r="R10" s="128">
        <v>0.146</v>
      </c>
      <c r="S10" s="129" t="s">
        <v>405</v>
      </c>
      <c r="T10" s="129" t="s">
        <v>406</v>
      </c>
      <c r="U10" s="130" t="s">
        <v>407</v>
      </c>
      <c r="V10" s="108">
        <f t="shared" si="6"/>
        <v>57895.6</v>
      </c>
      <c r="W10" s="108">
        <f t="shared" si="7"/>
        <v>47474.392</v>
      </c>
      <c r="X10" s="131"/>
      <c r="Y10" s="131"/>
      <c r="Z10" s="131"/>
      <c r="AA10" s="131"/>
      <c r="AB10" s="131"/>
      <c r="AC10" s="131"/>
      <c r="AD10" s="131"/>
      <c r="AE10" s="131"/>
    </row>
    <row r="11" ht="15.0" customHeight="1">
      <c r="A11" s="121" t="s">
        <v>408</v>
      </c>
      <c r="B11" s="122" t="s">
        <v>409</v>
      </c>
      <c r="C11" s="122" t="s">
        <v>410</v>
      </c>
      <c r="D11" s="122" t="s">
        <v>411</v>
      </c>
      <c r="E11" s="123">
        <v>12.0</v>
      </c>
      <c r="F11" s="124">
        <v>65000.0</v>
      </c>
      <c r="G11" s="125">
        <v>3000.0</v>
      </c>
      <c r="H11" s="126">
        <v>68000.0</v>
      </c>
      <c r="I11" s="98">
        <f t="shared" si="2"/>
        <v>55760</v>
      </c>
      <c r="J11" s="99">
        <v>55760.0</v>
      </c>
      <c r="K11" s="100">
        <f t="shared" si="3"/>
        <v>45723.2</v>
      </c>
      <c r="L11" s="101">
        <f t="shared" si="4"/>
        <v>669120</v>
      </c>
      <c r="M11" s="102">
        <v>250.0</v>
      </c>
      <c r="N11" s="127">
        <f t="shared" si="5"/>
        <v>167280000</v>
      </c>
      <c r="O11" s="104">
        <f t="shared" si="8"/>
        <v>4</v>
      </c>
      <c r="P11" s="128" t="s">
        <v>412</v>
      </c>
      <c r="Q11" s="128" t="s">
        <v>413</v>
      </c>
      <c r="R11" s="128">
        <v>0.12</v>
      </c>
      <c r="S11" s="129" t="s">
        <v>414</v>
      </c>
      <c r="T11" s="129" t="s">
        <v>415</v>
      </c>
      <c r="U11" s="130" t="s">
        <v>416</v>
      </c>
      <c r="V11" s="108">
        <f t="shared" si="6"/>
        <v>67877.6</v>
      </c>
      <c r="W11" s="108">
        <f t="shared" si="7"/>
        <v>55659.632</v>
      </c>
      <c r="X11" s="131"/>
      <c r="Y11" s="131"/>
      <c r="Z11" s="131"/>
      <c r="AA11" s="131"/>
      <c r="AB11" s="131"/>
      <c r="AC11" s="131"/>
      <c r="AD11" s="131"/>
      <c r="AE11" s="131"/>
    </row>
    <row r="12" ht="15.0" customHeight="1">
      <c r="A12" s="121" t="s">
        <v>417</v>
      </c>
      <c r="B12" s="122" t="s">
        <v>418</v>
      </c>
      <c r="C12" s="122" t="s">
        <v>419</v>
      </c>
      <c r="D12" s="122" t="s">
        <v>420</v>
      </c>
      <c r="E12" s="123">
        <v>10.0</v>
      </c>
      <c r="F12" s="124">
        <v>65000.0</v>
      </c>
      <c r="G12" s="125">
        <v>3000.0</v>
      </c>
      <c r="H12" s="126">
        <v>68000.0</v>
      </c>
      <c r="I12" s="98">
        <f t="shared" si="2"/>
        <v>55760</v>
      </c>
      <c r="J12" s="99">
        <v>55760.0</v>
      </c>
      <c r="K12" s="100">
        <f t="shared" si="3"/>
        <v>45723.2</v>
      </c>
      <c r="L12" s="101">
        <f t="shared" si="4"/>
        <v>557600</v>
      </c>
      <c r="M12" s="102">
        <v>250.0</v>
      </c>
      <c r="N12" s="127">
        <f t="shared" si="5"/>
        <v>139400000</v>
      </c>
      <c r="O12" s="104">
        <f t="shared" si="8"/>
        <v>4</v>
      </c>
      <c r="P12" s="128" t="s">
        <v>412</v>
      </c>
      <c r="Q12" s="128" t="s">
        <v>413</v>
      </c>
      <c r="R12" s="128">
        <v>0.12</v>
      </c>
      <c r="S12" s="129" t="s">
        <v>414</v>
      </c>
      <c r="T12" s="129" t="s">
        <v>415</v>
      </c>
      <c r="U12" s="130" t="s">
        <v>421</v>
      </c>
      <c r="V12" s="108">
        <f t="shared" si="6"/>
        <v>67877.6</v>
      </c>
      <c r="W12" s="108">
        <f t="shared" si="7"/>
        <v>55659.632</v>
      </c>
      <c r="X12" s="131"/>
      <c r="Y12" s="131"/>
      <c r="Z12" s="131"/>
      <c r="AA12" s="131"/>
      <c r="AB12" s="131"/>
      <c r="AC12" s="131"/>
      <c r="AD12" s="131"/>
      <c r="AE12" s="131"/>
    </row>
    <row r="13" ht="15.0" customHeight="1">
      <c r="A13" s="121" t="s">
        <v>422</v>
      </c>
      <c r="B13" s="132" t="s">
        <v>423</v>
      </c>
      <c r="C13" s="122" t="s">
        <v>424</v>
      </c>
      <c r="D13" s="122" t="s">
        <v>425</v>
      </c>
      <c r="E13" s="123">
        <v>12.0</v>
      </c>
      <c r="F13" s="124">
        <v>58000.0</v>
      </c>
      <c r="G13" s="125">
        <v>3000.0</v>
      </c>
      <c r="H13" s="126">
        <v>61000.0</v>
      </c>
      <c r="I13" s="98">
        <f t="shared" si="2"/>
        <v>50020</v>
      </c>
      <c r="J13" s="99">
        <v>50020.0</v>
      </c>
      <c r="K13" s="100">
        <f t="shared" si="3"/>
        <v>41016.4</v>
      </c>
      <c r="L13" s="101">
        <f t="shared" si="4"/>
        <v>600240</v>
      </c>
      <c r="M13" s="102">
        <v>250.0</v>
      </c>
      <c r="N13" s="127">
        <f t="shared" si="5"/>
        <v>150060000</v>
      </c>
      <c r="O13" s="104">
        <f t="shared" si="8"/>
        <v>4</v>
      </c>
      <c r="P13" s="128" t="s">
        <v>412</v>
      </c>
      <c r="Q13" s="128" t="s">
        <v>413</v>
      </c>
      <c r="R13" s="128">
        <v>0.12</v>
      </c>
      <c r="S13" s="129" t="s">
        <v>414</v>
      </c>
      <c r="T13" s="129" t="s">
        <v>415</v>
      </c>
      <c r="U13" s="130" t="s">
        <v>426</v>
      </c>
      <c r="V13" s="108">
        <f t="shared" si="6"/>
        <v>60890.2</v>
      </c>
      <c r="W13" s="108">
        <f t="shared" si="7"/>
        <v>49929.964</v>
      </c>
      <c r="X13" s="131"/>
      <c r="Y13" s="131"/>
      <c r="Z13" s="131"/>
      <c r="AA13" s="131"/>
      <c r="AB13" s="131"/>
      <c r="AC13" s="131"/>
      <c r="AD13" s="131"/>
      <c r="AE13" s="131"/>
    </row>
    <row r="14" ht="15.0" customHeight="1">
      <c r="A14" s="133" t="s">
        <v>427</v>
      </c>
      <c r="B14" s="134" t="s">
        <v>428</v>
      </c>
      <c r="C14" s="134" t="s">
        <v>429</v>
      </c>
      <c r="D14" s="134" t="s">
        <v>430</v>
      </c>
      <c r="E14" s="135">
        <v>18.0</v>
      </c>
      <c r="F14" s="136">
        <v>52000.0</v>
      </c>
      <c r="G14" s="137">
        <v>3000.0</v>
      </c>
      <c r="H14" s="138">
        <v>55000.0</v>
      </c>
      <c r="I14" s="98">
        <f t="shared" si="2"/>
        <v>45100</v>
      </c>
      <c r="J14" s="99">
        <v>45100.0</v>
      </c>
      <c r="K14" s="100">
        <f t="shared" si="3"/>
        <v>36982</v>
      </c>
      <c r="L14" s="101">
        <f t="shared" si="4"/>
        <v>811800</v>
      </c>
      <c r="M14" s="102">
        <v>250.0</v>
      </c>
      <c r="N14" s="139">
        <f t="shared" si="5"/>
        <v>202950000</v>
      </c>
      <c r="O14" s="104">
        <f t="shared" si="8"/>
        <v>4</v>
      </c>
      <c r="P14" s="140" t="s">
        <v>412</v>
      </c>
      <c r="Q14" s="140" t="s">
        <v>413</v>
      </c>
      <c r="R14" s="140">
        <v>0.12</v>
      </c>
      <c r="S14" s="141" t="s">
        <v>431</v>
      </c>
      <c r="T14" s="141" t="s">
        <v>432</v>
      </c>
      <c r="U14" s="142" t="s">
        <v>433</v>
      </c>
      <c r="V14" s="108">
        <f t="shared" si="6"/>
        <v>54901</v>
      </c>
      <c r="W14" s="108">
        <f t="shared" si="7"/>
        <v>45018.82</v>
      </c>
      <c r="X14" s="143"/>
      <c r="Y14" s="143"/>
      <c r="Z14" s="143"/>
      <c r="AA14" s="143"/>
      <c r="AB14" s="143"/>
      <c r="AC14" s="143"/>
      <c r="AD14" s="143"/>
      <c r="AE14" s="143"/>
    </row>
    <row r="15" ht="15.0" customHeight="1">
      <c r="A15" s="133" t="s">
        <v>434</v>
      </c>
      <c r="B15" s="134" t="s">
        <v>435</v>
      </c>
      <c r="C15" s="134" t="s">
        <v>436</v>
      </c>
      <c r="D15" s="134" t="s">
        <v>437</v>
      </c>
      <c r="E15" s="135">
        <v>18.0</v>
      </c>
      <c r="F15" s="136">
        <v>70000.0</v>
      </c>
      <c r="G15" s="137">
        <v>3000.0</v>
      </c>
      <c r="H15" s="138">
        <v>73000.0</v>
      </c>
      <c r="I15" s="98">
        <f t="shared" si="2"/>
        <v>59860</v>
      </c>
      <c r="J15" s="99">
        <v>59860.0</v>
      </c>
      <c r="K15" s="100">
        <f t="shared" si="3"/>
        <v>49085.2</v>
      </c>
      <c r="L15" s="101">
        <f t="shared" si="4"/>
        <v>1077480</v>
      </c>
      <c r="M15" s="102">
        <v>250.0</v>
      </c>
      <c r="N15" s="139">
        <f t="shared" si="5"/>
        <v>269370000</v>
      </c>
      <c r="O15" s="104">
        <f t="shared" si="8"/>
        <v>5</v>
      </c>
      <c r="P15" s="140" t="s">
        <v>412</v>
      </c>
      <c r="Q15" s="140" t="s">
        <v>413</v>
      </c>
      <c r="R15" s="140">
        <v>0.12</v>
      </c>
      <c r="S15" s="141" t="s">
        <v>431</v>
      </c>
      <c r="T15" s="141" t="s">
        <v>432</v>
      </c>
      <c r="U15" s="142" t="s">
        <v>438</v>
      </c>
      <c r="V15" s="108">
        <f t="shared" si="6"/>
        <v>72868.6</v>
      </c>
      <c r="W15" s="108">
        <f t="shared" si="7"/>
        <v>59752.252</v>
      </c>
      <c r="X15" s="143"/>
      <c r="Y15" s="143"/>
      <c r="Z15" s="143"/>
      <c r="AA15" s="143"/>
      <c r="AB15" s="143"/>
      <c r="AC15" s="143"/>
      <c r="AD15" s="143"/>
      <c r="AE15" s="143"/>
    </row>
    <row r="16" ht="15.0" customHeight="1">
      <c r="A16" s="133" t="s">
        <v>439</v>
      </c>
      <c r="B16" s="134" t="s">
        <v>440</v>
      </c>
      <c r="C16" s="134" t="s">
        <v>441</v>
      </c>
      <c r="D16" s="134" t="s">
        <v>442</v>
      </c>
      <c r="E16" s="135">
        <v>12.0</v>
      </c>
      <c r="F16" s="136">
        <v>70000.0</v>
      </c>
      <c r="G16" s="137">
        <v>3000.0</v>
      </c>
      <c r="H16" s="138">
        <v>73000.0</v>
      </c>
      <c r="I16" s="98">
        <f t="shared" si="2"/>
        <v>59860</v>
      </c>
      <c r="J16" s="99">
        <v>59860.0</v>
      </c>
      <c r="K16" s="100">
        <f t="shared" si="3"/>
        <v>49085.2</v>
      </c>
      <c r="L16" s="101">
        <f t="shared" si="4"/>
        <v>718320</v>
      </c>
      <c r="M16" s="102">
        <v>250.0</v>
      </c>
      <c r="N16" s="139">
        <f t="shared" si="5"/>
        <v>179580000</v>
      </c>
      <c r="O16" s="104">
        <f t="shared" si="8"/>
        <v>5</v>
      </c>
      <c r="P16" s="140" t="s">
        <v>412</v>
      </c>
      <c r="Q16" s="140" t="s">
        <v>413</v>
      </c>
      <c r="R16" s="140">
        <v>0.12</v>
      </c>
      <c r="S16" s="141" t="s">
        <v>431</v>
      </c>
      <c r="T16" s="141" t="s">
        <v>432</v>
      </c>
      <c r="U16" s="142" t="s">
        <v>443</v>
      </c>
      <c r="V16" s="108">
        <f t="shared" si="6"/>
        <v>72868.6</v>
      </c>
      <c r="W16" s="108">
        <f t="shared" si="7"/>
        <v>59752.252</v>
      </c>
      <c r="X16" s="143"/>
      <c r="Y16" s="143"/>
      <c r="Z16" s="143"/>
      <c r="AA16" s="143"/>
      <c r="AB16" s="143"/>
      <c r="AC16" s="143"/>
      <c r="AD16" s="143"/>
      <c r="AE16" s="143"/>
    </row>
    <row r="17" ht="15.0" customHeight="1">
      <c r="A17" s="133" t="s">
        <v>444</v>
      </c>
      <c r="B17" s="134" t="s">
        <v>445</v>
      </c>
      <c r="C17" s="144" t="s">
        <v>446</v>
      </c>
      <c r="D17" s="134" t="s">
        <v>447</v>
      </c>
      <c r="E17" s="135">
        <v>12.0</v>
      </c>
      <c r="F17" s="136">
        <v>70000.0</v>
      </c>
      <c r="G17" s="137">
        <v>3000.0</v>
      </c>
      <c r="H17" s="138">
        <v>73000.0</v>
      </c>
      <c r="I17" s="98">
        <f t="shared" si="2"/>
        <v>59860</v>
      </c>
      <c r="J17" s="99">
        <v>59860.0</v>
      </c>
      <c r="K17" s="100">
        <f t="shared" si="3"/>
        <v>49085.2</v>
      </c>
      <c r="L17" s="101">
        <f t="shared" si="4"/>
        <v>718320</v>
      </c>
      <c r="M17" s="102">
        <v>250.0</v>
      </c>
      <c r="N17" s="139">
        <f t="shared" si="5"/>
        <v>179580000</v>
      </c>
      <c r="O17" s="104">
        <f t="shared" si="8"/>
        <v>5</v>
      </c>
      <c r="P17" s="140" t="s">
        <v>412</v>
      </c>
      <c r="Q17" s="140" t="s">
        <v>413</v>
      </c>
      <c r="R17" s="140">
        <v>0.12</v>
      </c>
      <c r="S17" s="141" t="s">
        <v>431</v>
      </c>
      <c r="T17" s="141" t="s">
        <v>432</v>
      </c>
      <c r="U17" s="142" t="s">
        <v>448</v>
      </c>
      <c r="V17" s="108">
        <f t="shared" si="6"/>
        <v>72868.6</v>
      </c>
      <c r="W17" s="108">
        <f t="shared" si="7"/>
        <v>59752.252</v>
      </c>
      <c r="X17" s="143"/>
      <c r="Y17" s="143"/>
      <c r="Z17" s="143"/>
      <c r="AA17" s="143"/>
      <c r="AB17" s="143"/>
      <c r="AC17" s="143"/>
      <c r="AD17" s="143"/>
      <c r="AE17" s="143"/>
    </row>
    <row r="18" ht="15.0" customHeight="1">
      <c r="A18" s="133" t="s">
        <v>449</v>
      </c>
      <c r="B18" s="134" t="s">
        <v>450</v>
      </c>
      <c r="C18" s="144" t="s">
        <v>451</v>
      </c>
      <c r="D18" s="134" t="s">
        <v>452</v>
      </c>
      <c r="E18" s="135">
        <v>10.0</v>
      </c>
      <c r="F18" s="136">
        <v>88000.0</v>
      </c>
      <c r="G18" s="137">
        <v>5000.0</v>
      </c>
      <c r="H18" s="138">
        <v>93000.0</v>
      </c>
      <c r="I18" s="98">
        <f t="shared" si="2"/>
        <v>76260</v>
      </c>
      <c r="J18" s="99">
        <v>76260.0</v>
      </c>
      <c r="K18" s="100">
        <f t="shared" si="3"/>
        <v>62533.2</v>
      </c>
      <c r="L18" s="101">
        <f t="shared" si="4"/>
        <v>762600</v>
      </c>
      <c r="M18" s="102">
        <v>250.0</v>
      </c>
      <c r="N18" s="139">
        <f t="shared" si="5"/>
        <v>190650000</v>
      </c>
      <c r="O18" s="104">
        <f t="shared" si="8"/>
        <v>6</v>
      </c>
      <c r="P18" s="140" t="s">
        <v>412</v>
      </c>
      <c r="Q18" s="140" t="s">
        <v>413</v>
      </c>
      <c r="R18" s="140">
        <v>0.12</v>
      </c>
      <c r="S18" s="141" t="s">
        <v>431</v>
      </c>
      <c r="T18" s="141" t="s">
        <v>432</v>
      </c>
      <c r="U18" s="142" t="s">
        <v>453</v>
      </c>
      <c r="V18" s="108">
        <f t="shared" si="6"/>
        <v>92832.6</v>
      </c>
      <c r="W18" s="108">
        <f t="shared" si="7"/>
        <v>76122.732</v>
      </c>
      <c r="X18" s="143"/>
      <c r="Y18" s="143"/>
      <c r="Z18" s="143"/>
      <c r="AA18" s="143"/>
      <c r="AB18" s="143"/>
      <c r="AC18" s="143"/>
      <c r="AD18" s="143"/>
      <c r="AE18" s="143"/>
    </row>
    <row r="19" ht="15.0" customHeight="1">
      <c r="A19" s="133" t="s">
        <v>454</v>
      </c>
      <c r="B19" s="134" t="s">
        <v>455</v>
      </c>
      <c r="C19" s="144" t="s">
        <v>456</v>
      </c>
      <c r="D19" s="134" t="s">
        <v>457</v>
      </c>
      <c r="E19" s="135">
        <v>10.0</v>
      </c>
      <c r="F19" s="136">
        <v>89000.0</v>
      </c>
      <c r="G19" s="137">
        <v>5000.0</v>
      </c>
      <c r="H19" s="138">
        <v>94000.0</v>
      </c>
      <c r="I19" s="98">
        <f t="shared" si="2"/>
        <v>77080</v>
      </c>
      <c r="J19" s="99">
        <v>77080.0</v>
      </c>
      <c r="K19" s="100">
        <f t="shared" si="3"/>
        <v>63205.6</v>
      </c>
      <c r="L19" s="101">
        <f t="shared" si="4"/>
        <v>770800</v>
      </c>
      <c r="M19" s="102">
        <v>250.0</v>
      </c>
      <c r="N19" s="139">
        <f t="shared" si="5"/>
        <v>192700000</v>
      </c>
      <c r="O19" s="104">
        <f t="shared" si="8"/>
        <v>6</v>
      </c>
      <c r="P19" s="140" t="s">
        <v>412</v>
      </c>
      <c r="Q19" s="140" t="s">
        <v>413</v>
      </c>
      <c r="R19" s="140">
        <v>0.12</v>
      </c>
      <c r="S19" s="141" t="s">
        <v>431</v>
      </c>
      <c r="T19" s="141" t="s">
        <v>432</v>
      </c>
      <c r="U19" s="142" t="s">
        <v>458</v>
      </c>
      <c r="V19" s="108">
        <f t="shared" si="6"/>
        <v>93830.8</v>
      </c>
      <c r="W19" s="108">
        <f t="shared" si="7"/>
        <v>76941.256</v>
      </c>
      <c r="X19" s="143"/>
      <c r="Y19" s="143"/>
      <c r="Z19" s="143"/>
      <c r="AA19" s="143"/>
      <c r="AB19" s="143"/>
      <c r="AC19" s="143"/>
      <c r="AD19" s="143"/>
      <c r="AE19" s="143"/>
    </row>
    <row r="20" ht="15.0" customHeight="1">
      <c r="A20" s="133" t="s">
        <v>459</v>
      </c>
      <c r="B20" s="134" t="s">
        <v>460</v>
      </c>
      <c r="C20" s="144" t="s">
        <v>461</v>
      </c>
      <c r="D20" s="134" t="s">
        <v>462</v>
      </c>
      <c r="E20" s="135">
        <v>10.0</v>
      </c>
      <c r="F20" s="145"/>
      <c r="G20" s="145"/>
      <c r="H20" s="138">
        <v>94000.0</v>
      </c>
      <c r="I20" s="98">
        <f t="shared" si="2"/>
        <v>77080</v>
      </c>
      <c r="J20" s="99">
        <v>77080.0</v>
      </c>
      <c r="K20" s="100">
        <f t="shared" si="3"/>
        <v>63205.6</v>
      </c>
      <c r="L20" s="101">
        <f t="shared" si="4"/>
        <v>770800</v>
      </c>
      <c r="M20" s="102">
        <v>250.0</v>
      </c>
      <c r="N20" s="139">
        <f t="shared" si="5"/>
        <v>192700000</v>
      </c>
      <c r="O20" s="104">
        <f t="shared" si="8"/>
        <v>6</v>
      </c>
      <c r="P20" s="140" t="s">
        <v>412</v>
      </c>
      <c r="Q20" s="140" t="s">
        <v>413</v>
      </c>
      <c r="R20" s="140">
        <v>0.12</v>
      </c>
      <c r="S20" s="141" t="s">
        <v>431</v>
      </c>
      <c r="T20" s="141" t="s">
        <v>432</v>
      </c>
      <c r="U20" s="142" t="s">
        <v>463</v>
      </c>
      <c r="V20" s="108">
        <f t="shared" si="6"/>
        <v>93830.8</v>
      </c>
      <c r="W20" s="108">
        <f t="shared" si="7"/>
        <v>76941.256</v>
      </c>
      <c r="X20" s="143"/>
      <c r="Y20" s="143"/>
      <c r="Z20" s="143"/>
      <c r="AA20" s="143"/>
      <c r="AB20" s="143"/>
      <c r="AC20" s="143"/>
      <c r="AD20" s="143"/>
      <c r="AE20" s="143"/>
    </row>
    <row r="21" ht="15.0" customHeight="1">
      <c r="A21" s="133" t="s">
        <v>464</v>
      </c>
      <c r="B21" s="146" t="s">
        <v>70</v>
      </c>
      <c r="C21" s="144" t="s">
        <v>465</v>
      </c>
      <c r="D21" s="134" t="s">
        <v>466</v>
      </c>
      <c r="E21" s="135">
        <v>10.0</v>
      </c>
      <c r="F21" s="136">
        <v>85000.0</v>
      </c>
      <c r="G21" s="137">
        <v>5000.0</v>
      </c>
      <c r="H21" s="138">
        <v>90000.0</v>
      </c>
      <c r="I21" s="98">
        <f t="shared" si="2"/>
        <v>73800</v>
      </c>
      <c r="J21" s="99">
        <v>73800.0</v>
      </c>
      <c r="K21" s="100">
        <f t="shared" si="3"/>
        <v>60516</v>
      </c>
      <c r="L21" s="101">
        <f t="shared" si="4"/>
        <v>738000</v>
      </c>
      <c r="M21" s="102">
        <v>250.0</v>
      </c>
      <c r="N21" s="139">
        <f t="shared" si="5"/>
        <v>184500000</v>
      </c>
      <c r="O21" s="104">
        <f t="shared" si="8"/>
        <v>6</v>
      </c>
      <c r="P21" s="147"/>
      <c r="Q21" s="147"/>
      <c r="R21" s="147"/>
      <c r="S21" s="143"/>
      <c r="T21" s="143"/>
      <c r="U21" s="143"/>
      <c r="V21" s="108">
        <f t="shared" si="6"/>
        <v>89838</v>
      </c>
      <c r="W21" s="108">
        <f t="shared" si="7"/>
        <v>73667.16</v>
      </c>
      <c r="X21" s="143"/>
      <c r="Y21" s="143"/>
      <c r="Z21" s="143"/>
      <c r="AA21" s="143"/>
      <c r="AB21" s="143"/>
      <c r="AC21" s="143"/>
      <c r="AD21" s="143"/>
      <c r="AE21" s="143"/>
    </row>
    <row r="22" ht="15.0" customHeight="1">
      <c r="A22" s="148" t="s">
        <v>467</v>
      </c>
      <c r="B22" s="109" t="s">
        <v>468</v>
      </c>
      <c r="C22" s="110" t="s">
        <v>469</v>
      </c>
      <c r="D22" s="109" t="s">
        <v>470</v>
      </c>
      <c r="E22" s="111">
        <v>12.0</v>
      </c>
      <c r="F22" s="112">
        <v>95000.0</v>
      </c>
      <c r="G22" s="113">
        <v>5000.0</v>
      </c>
      <c r="H22" s="114">
        <v>100000.0</v>
      </c>
      <c r="I22" s="98">
        <f t="shared" si="2"/>
        <v>82000</v>
      </c>
      <c r="J22" s="99">
        <v>82000.0</v>
      </c>
      <c r="K22" s="100">
        <f t="shared" si="3"/>
        <v>67240</v>
      </c>
      <c r="L22" s="101">
        <f t="shared" si="4"/>
        <v>984000</v>
      </c>
      <c r="M22" s="102">
        <v>250.0</v>
      </c>
      <c r="N22" s="115">
        <f t="shared" si="5"/>
        <v>246000000</v>
      </c>
      <c r="O22" s="104">
        <f t="shared" si="8"/>
        <v>6</v>
      </c>
      <c r="P22" s="149"/>
      <c r="Q22" s="149"/>
      <c r="R22" s="149"/>
      <c r="S22" s="119"/>
      <c r="T22" s="119"/>
      <c r="U22" s="119"/>
      <c r="V22" s="108">
        <f t="shared" si="6"/>
        <v>99820</v>
      </c>
      <c r="W22" s="108">
        <f t="shared" si="7"/>
        <v>81852.4</v>
      </c>
      <c r="X22" s="119"/>
      <c r="Y22" s="119"/>
      <c r="Z22" s="119"/>
      <c r="AA22" s="119"/>
      <c r="AB22" s="119"/>
      <c r="AC22" s="119"/>
      <c r="AD22" s="119"/>
      <c r="AE22" s="119"/>
    </row>
    <row r="23" ht="15.0" customHeight="1">
      <c r="A23" s="148" t="s">
        <v>471</v>
      </c>
      <c r="B23" s="109" t="s">
        <v>472</v>
      </c>
      <c r="C23" s="110" t="s">
        <v>473</v>
      </c>
      <c r="D23" s="109" t="s">
        <v>474</v>
      </c>
      <c r="E23" s="111">
        <v>12.0</v>
      </c>
      <c r="F23" s="112">
        <v>100000.0</v>
      </c>
      <c r="G23" s="113">
        <v>5000.0</v>
      </c>
      <c r="H23" s="114">
        <v>105000.0</v>
      </c>
      <c r="I23" s="98">
        <f t="shared" si="2"/>
        <v>86100</v>
      </c>
      <c r="J23" s="99">
        <v>86100.0</v>
      </c>
      <c r="K23" s="100">
        <f t="shared" si="3"/>
        <v>70602</v>
      </c>
      <c r="L23" s="101">
        <f t="shared" si="4"/>
        <v>1033200</v>
      </c>
      <c r="M23" s="102">
        <v>250.0</v>
      </c>
      <c r="N23" s="115">
        <f t="shared" si="5"/>
        <v>258300000</v>
      </c>
      <c r="O23" s="104">
        <f t="shared" si="8"/>
        <v>7</v>
      </c>
      <c r="P23" s="149"/>
      <c r="Q23" s="149"/>
      <c r="R23" s="149"/>
      <c r="S23" s="119"/>
      <c r="T23" s="119"/>
      <c r="U23" s="119"/>
      <c r="V23" s="108">
        <f t="shared" si="6"/>
        <v>104811</v>
      </c>
      <c r="W23" s="108">
        <f t="shared" si="7"/>
        <v>85945.02</v>
      </c>
      <c r="X23" s="119"/>
      <c r="Y23" s="119"/>
      <c r="Z23" s="119"/>
      <c r="AA23" s="119"/>
      <c r="AB23" s="119"/>
      <c r="AC23" s="119"/>
      <c r="AD23" s="119"/>
      <c r="AE23" s="119"/>
    </row>
    <row r="24" ht="15.0" customHeight="1">
      <c r="A24" s="148">
        <v>1.0</v>
      </c>
      <c r="B24" s="109" t="s">
        <v>475</v>
      </c>
      <c r="C24" s="110" t="s">
        <v>476</v>
      </c>
      <c r="D24" s="109" t="s">
        <v>477</v>
      </c>
      <c r="E24" s="111">
        <v>10.0</v>
      </c>
      <c r="F24" s="112">
        <v>105000.0</v>
      </c>
      <c r="G24" s="113">
        <v>5000.0</v>
      </c>
      <c r="H24" s="114">
        <v>110000.0</v>
      </c>
      <c r="I24" s="98">
        <f t="shared" si="2"/>
        <v>90200</v>
      </c>
      <c r="J24" s="99">
        <v>90200.0</v>
      </c>
      <c r="K24" s="100">
        <f t="shared" si="3"/>
        <v>73964</v>
      </c>
      <c r="L24" s="101">
        <f t="shared" si="4"/>
        <v>902000</v>
      </c>
      <c r="M24" s="102">
        <v>250.0</v>
      </c>
      <c r="N24" s="115">
        <f t="shared" si="5"/>
        <v>225500000</v>
      </c>
      <c r="O24" s="104">
        <f t="shared" si="8"/>
        <v>7</v>
      </c>
      <c r="P24" s="116" t="s">
        <v>412</v>
      </c>
      <c r="Q24" s="116" t="s">
        <v>413</v>
      </c>
      <c r="R24" s="116">
        <v>0.12</v>
      </c>
      <c r="S24" s="117" t="s">
        <v>478</v>
      </c>
      <c r="T24" s="117" t="s">
        <v>479</v>
      </c>
      <c r="U24" s="118" t="s">
        <v>480</v>
      </c>
      <c r="V24" s="108">
        <f t="shared" si="6"/>
        <v>109802</v>
      </c>
      <c r="W24" s="108">
        <f t="shared" si="7"/>
        <v>90037.64</v>
      </c>
      <c r="X24" s="119"/>
      <c r="Y24" s="119"/>
      <c r="Z24" s="119"/>
      <c r="AA24" s="119"/>
      <c r="AB24" s="119"/>
      <c r="AC24" s="119"/>
      <c r="AD24" s="119"/>
      <c r="AE24" s="119"/>
    </row>
    <row r="25" ht="15.0" customHeight="1">
      <c r="A25" s="133" t="s">
        <v>481</v>
      </c>
      <c r="B25" s="134" t="s">
        <v>482</v>
      </c>
      <c r="C25" s="144" t="s">
        <v>483</v>
      </c>
      <c r="D25" s="134" t="s">
        <v>484</v>
      </c>
      <c r="E25" s="135">
        <v>10.0</v>
      </c>
      <c r="F25" s="136">
        <v>98000.0</v>
      </c>
      <c r="G25" s="137">
        <v>5000.0</v>
      </c>
      <c r="H25" s="138">
        <v>103000.0</v>
      </c>
      <c r="I25" s="98">
        <f t="shared" si="2"/>
        <v>84460</v>
      </c>
      <c r="J25" s="99">
        <v>84460.0</v>
      </c>
      <c r="K25" s="100">
        <f t="shared" si="3"/>
        <v>69257.2</v>
      </c>
      <c r="L25" s="101">
        <f t="shared" si="4"/>
        <v>844600</v>
      </c>
      <c r="M25" s="102">
        <v>250.0</v>
      </c>
      <c r="N25" s="139">
        <f t="shared" si="5"/>
        <v>211150000</v>
      </c>
      <c r="O25" s="104">
        <f t="shared" si="8"/>
        <v>7</v>
      </c>
      <c r="P25" s="147"/>
      <c r="Q25" s="147"/>
      <c r="R25" s="147"/>
      <c r="S25" s="143"/>
      <c r="T25" s="143"/>
      <c r="U25" s="143"/>
      <c r="V25" s="108">
        <f t="shared" si="6"/>
        <v>102814.6</v>
      </c>
      <c r="W25" s="108">
        <f t="shared" si="7"/>
        <v>84307.972</v>
      </c>
      <c r="X25" s="143"/>
      <c r="Y25" s="143"/>
      <c r="Z25" s="143"/>
      <c r="AA25" s="143"/>
      <c r="AB25" s="143"/>
      <c r="AC25" s="143"/>
      <c r="AD25" s="143"/>
      <c r="AE25" s="143"/>
    </row>
    <row r="26" ht="15.0" customHeight="1">
      <c r="A26" s="133" t="s">
        <v>485</v>
      </c>
      <c r="B26" s="134" t="s">
        <v>486</v>
      </c>
      <c r="C26" s="144" t="s">
        <v>487</v>
      </c>
      <c r="D26" s="134" t="s">
        <v>488</v>
      </c>
      <c r="E26" s="135">
        <v>10.0</v>
      </c>
      <c r="F26" s="136">
        <v>99000.0</v>
      </c>
      <c r="G26" s="137">
        <v>5000.0</v>
      </c>
      <c r="H26" s="138">
        <v>104000.0</v>
      </c>
      <c r="I26" s="98">
        <f t="shared" si="2"/>
        <v>85280</v>
      </c>
      <c r="J26" s="99">
        <v>85280.0</v>
      </c>
      <c r="K26" s="100">
        <f t="shared" si="3"/>
        <v>69929.6</v>
      </c>
      <c r="L26" s="101">
        <f t="shared" si="4"/>
        <v>852800</v>
      </c>
      <c r="M26" s="102">
        <v>250.0</v>
      </c>
      <c r="N26" s="139">
        <f t="shared" si="5"/>
        <v>213200000</v>
      </c>
      <c r="O26" s="104">
        <f t="shared" si="8"/>
        <v>7</v>
      </c>
      <c r="P26" s="147"/>
      <c r="Q26" s="147"/>
      <c r="R26" s="147"/>
      <c r="S26" s="143"/>
      <c r="T26" s="143"/>
      <c r="U26" s="143"/>
      <c r="V26" s="108">
        <f t="shared" si="6"/>
        <v>103812.8</v>
      </c>
      <c r="W26" s="108">
        <f t="shared" si="7"/>
        <v>85126.496</v>
      </c>
      <c r="X26" s="143"/>
      <c r="Y26" s="143"/>
      <c r="Z26" s="143"/>
      <c r="AA26" s="143"/>
      <c r="AB26" s="143"/>
      <c r="AC26" s="143"/>
      <c r="AD26" s="143"/>
      <c r="AE26" s="143"/>
    </row>
    <row r="27" ht="15.0" customHeight="1">
      <c r="A27" s="150" t="s">
        <v>489</v>
      </c>
      <c r="B27" s="151" t="s">
        <v>490</v>
      </c>
      <c r="C27" s="152" t="s">
        <v>491</v>
      </c>
      <c r="D27" s="151" t="s">
        <v>492</v>
      </c>
      <c r="E27" s="153">
        <v>10.0</v>
      </c>
      <c r="F27" s="154">
        <v>98000.0</v>
      </c>
      <c r="G27" s="155">
        <v>5000.0</v>
      </c>
      <c r="H27" s="156">
        <v>103000.0</v>
      </c>
      <c r="I27" s="98">
        <f t="shared" si="2"/>
        <v>84460</v>
      </c>
      <c r="J27" s="99">
        <v>84460.0</v>
      </c>
      <c r="K27" s="100">
        <f t="shared" si="3"/>
        <v>69257.2</v>
      </c>
      <c r="L27" s="101">
        <f t="shared" si="4"/>
        <v>844600</v>
      </c>
      <c r="M27" s="102">
        <v>250.0</v>
      </c>
      <c r="N27" s="157">
        <f t="shared" si="5"/>
        <v>211150000</v>
      </c>
      <c r="O27" s="104">
        <f t="shared" si="8"/>
        <v>7</v>
      </c>
      <c r="P27" s="158"/>
      <c r="Q27" s="158"/>
      <c r="R27" s="158"/>
      <c r="S27" s="159"/>
      <c r="T27" s="159"/>
      <c r="U27" s="159"/>
      <c r="V27" s="108">
        <f t="shared" si="6"/>
        <v>102814.6</v>
      </c>
      <c r="W27" s="108">
        <f t="shared" si="7"/>
        <v>84307.972</v>
      </c>
      <c r="X27" s="159"/>
      <c r="Y27" s="159"/>
      <c r="Z27" s="159"/>
      <c r="AA27" s="159"/>
      <c r="AB27" s="159"/>
      <c r="AC27" s="159"/>
      <c r="AD27" s="159"/>
      <c r="AE27" s="159"/>
    </row>
    <row r="28" ht="15.0" customHeight="1">
      <c r="A28" s="133" t="s">
        <v>493</v>
      </c>
      <c r="B28" s="134" t="s">
        <v>494</v>
      </c>
      <c r="C28" s="144" t="s">
        <v>495</v>
      </c>
      <c r="D28" s="134" t="s">
        <v>496</v>
      </c>
      <c r="E28" s="135">
        <v>10.0</v>
      </c>
      <c r="F28" s="136">
        <v>110000.0</v>
      </c>
      <c r="G28" s="137">
        <v>5000.0</v>
      </c>
      <c r="H28" s="138">
        <v>115000.0</v>
      </c>
      <c r="I28" s="98">
        <f t="shared" si="2"/>
        <v>94300</v>
      </c>
      <c r="J28" s="99">
        <v>94300.0</v>
      </c>
      <c r="K28" s="100">
        <f t="shared" si="3"/>
        <v>77326</v>
      </c>
      <c r="L28" s="101">
        <f t="shared" si="4"/>
        <v>943000</v>
      </c>
      <c r="M28" s="102">
        <v>250.0</v>
      </c>
      <c r="N28" s="139">
        <f t="shared" si="5"/>
        <v>235750000</v>
      </c>
      <c r="O28" s="104">
        <f t="shared" si="8"/>
        <v>7</v>
      </c>
      <c r="P28" s="147"/>
      <c r="Q28" s="147"/>
      <c r="R28" s="147"/>
      <c r="S28" s="143"/>
      <c r="T28" s="143"/>
      <c r="U28" s="143"/>
      <c r="V28" s="108">
        <f t="shared" si="6"/>
        <v>114793</v>
      </c>
      <c r="W28" s="108">
        <f t="shared" si="7"/>
        <v>94130.26</v>
      </c>
      <c r="X28" s="143"/>
      <c r="Y28" s="143"/>
      <c r="Z28" s="143"/>
      <c r="AA28" s="143"/>
      <c r="AB28" s="143"/>
      <c r="AC28" s="143"/>
      <c r="AD28" s="143"/>
      <c r="AE28" s="143"/>
    </row>
    <row r="29" ht="15.0" customHeight="1">
      <c r="A29" s="133" t="s">
        <v>497</v>
      </c>
      <c r="B29" s="134" t="s">
        <v>498</v>
      </c>
      <c r="C29" s="144" t="s">
        <v>499</v>
      </c>
      <c r="D29" s="134" t="s">
        <v>500</v>
      </c>
      <c r="E29" s="135">
        <v>10.0</v>
      </c>
      <c r="F29" s="136">
        <v>115000.0</v>
      </c>
      <c r="G29" s="137">
        <v>5000.0</v>
      </c>
      <c r="H29" s="138">
        <v>120000.0</v>
      </c>
      <c r="I29" s="98">
        <f t="shared" si="2"/>
        <v>98400</v>
      </c>
      <c r="J29" s="99">
        <v>98400.0</v>
      </c>
      <c r="K29" s="100">
        <f t="shared" si="3"/>
        <v>80688</v>
      </c>
      <c r="L29" s="101">
        <f t="shared" si="4"/>
        <v>984000</v>
      </c>
      <c r="M29" s="102">
        <v>250.0</v>
      </c>
      <c r="N29" s="139">
        <f t="shared" si="5"/>
        <v>246000000</v>
      </c>
      <c r="O29" s="104">
        <f t="shared" si="8"/>
        <v>8</v>
      </c>
      <c r="P29" s="147"/>
      <c r="Q29" s="147"/>
      <c r="R29" s="147"/>
      <c r="S29" s="143"/>
      <c r="T29" s="143"/>
      <c r="U29" s="143"/>
      <c r="V29" s="108">
        <f t="shared" si="6"/>
        <v>119784</v>
      </c>
      <c r="W29" s="108">
        <f t="shared" si="7"/>
        <v>98222.88</v>
      </c>
      <c r="X29" s="143"/>
      <c r="Y29" s="143"/>
      <c r="Z29" s="143"/>
      <c r="AA29" s="143"/>
      <c r="AB29" s="143"/>
      <c r="AC29" s="143"/>
      <c r="AD29" s="143"/>
      <c r="AE29" s="143"/>
    </row>
    <row r="30" ht="15.0" customHeight="1">
      <c r="A30" s="133" t="s">
        <v>501</v>
      </c>
      <c r="B30" s="134" t="s">
        <v>502</v>
      </c>
      <c r="C30" s="144" t="s">
        <v>503</v>
      </c>
      <c r="D30" s="134" t="s">
        <v>504</v>
      </c>
      <c r="E30" s="135">
        <v>10.0</v>
      </c>
      <c r="F30" s="136">
        <v>117000.0</v>
      </c>
      <c r="G30" s="137">
        <v>5000.0</v>
      </c>
      <c r="H30" s="138">
        <v>122000.0</v>
      </c>
      <c r="I30" s="98">
        <f t="shared" si="2"/>
        <v>100040</v>
      </c>
      <c r="J30" s="99">
        <v>100040.0</v>
      </c>
      <c r="K30" s="100">
        <f t="shared" si="3"/>
        <v>82032.8</v>
      </c>
      <c r="L30" s="101">
        <f t="shared" si="4"/>
        <v>1000400</v>
      </c>
      <c r="M30" s="102">
        <v>250.0</v>
      </c>
      <c r="N30" s="139">
        <f t="shared" si="5"/>
        <v>250100000</v>
      </c>
      <c r="O30" s="104">
        <f t="shared" si="8"/>
        <v>8</v>
      </c>
      <c r="P30" s="147"/>
      <c r="Q30" s="147"/>
      <c r="R30" s="147"/>
      <c r="S30" s="143"/>
      <c r="T30" s="143"/>
      <c r="U30" s="143"/>
      <c r="V30" s="108">
        <f t="shared" si="6"/>
        <v>121780.4</v>
      </c>
      <c r="W30" s="108">
        <f t="shared" si="7"/>
        <v>99859.928</v>
      </c>
      <c r="X30" s="143"/>
      <c r="Y30" s="143"/>
      <c r="Z30" s="143"/>
      <c r="AA30" s="143"/>
      <c r="AB30" s="143"/>
      <c r="AC30" s="143"/>
      <c r="AD30" s="143"/>
      <c r="AE30" s="143"/>
    </row>
    <row r="31" ht="15.0" customHeight="1">
      <c r="A31" s="160" t="s">
        <v>505</v>
      </c>
      <c r="B31" s="161" t="s">
        <v>506</v>
      </c>
      <c r="C31" s="162" t="s">
        <v>507</v>
      </c>
      <c r="D31" s="161" t="s">
        <v>508</v>
      </c>
      <c r="E31" s="163">
        <v>10.0</v>
      </c>
      <c r="F31" s="164">
        <v>120000.0</v>
      </c>
      <c r="G31" s="165">
        <v>5000.0</v>
      </c>
      <c r="H31" s="166">
        <v>125000.0</v>
      </c>
      <c r="I31" s="98">
        <f t="shared" si="2"/>
        <v>102500</v>
      </c>
      <c r="J31" s="99">
        <v>102500.0</v>
      </c>
      <c r="K31" s="100">
        <f t="shared" si="3"/>
        <v>84050</v>
      </c>
      <c r="L31" s="101">
        <f t="shared" si="4"/>
        <v>1025000</v>
      </c>
      <c r="M31" s="102">
        <v>250.0</v>
      </c>
      <c r="N31" s="167">
        <f t="shared" si="5"/>
        <v>256250000</v>
      </c>
      <c r="O31" s="104">
        <f t="shared" si="8"/>
        <v>8</v>
      </c>
      <c r="P31" s="168"/>
      <c r="Q31" s="168"/>
      <c r="R31" s="168"/>
      <c r="S31" s="169"/>
      <c r="T31" s="169"/>
      <c r="U31" s="169"/>
      <c r="V31" s="108">
        <f t="shared" si="6"/>
        <v>124775</v>
      </c>
      <c r="W31" s="108">
        <f t="shared" si="7"/>
        <v>102315.5</v>
      </c>
      <c r="X31" s="169"/>
      <c r="Y31" s="169"/>
      <c r="Z31" s="169"/>
      <c r="AA31" s="169"/>
      <c r="AB31" s="169"/>
      <c r="AC31" s="169"/>
      <c r="AD31" s="169"/>
      <c r="AE31" s="169"/>
    </row>
    <row r="32" ht="15.0" customHeight="1">
      <c r="A32" s="160" t="s">
        <v>509</v>
      </c>
      <c r="B32" s="161" t="s">
        <v>510</v>
      </c>
      <c r="C32" s="162" t="s">
        <v>511</v>
      </c>
      <c r="D32" s="161" t="s">
        <v>512</v>
      </c>
      <c r="E32" s="163">
        <v>10.0</v>
      </c>
      <c r="F32" s="164">
        <v>120000.0</v>
      </c>
      <c r="G32" s="165">
        <v>5000.0</v>
      </c>
      <c r="H32" s="166">
        <v>125000.0</v>
      </c>
      <c r="I32" s="98">
        <f t="shared" si="2"/>
        <v>102500</v>
      </c>
      <c r="J32" s="99">
        <v>102500.0</v>
      </c>
      <c r="K32" s="100">
        <f t="shared" si="3"/>
        <v>84050</v>
      </c>
      <c r="L32" s="101">
        <f t="shared" si="4"/>
        <v>1025000</v>
      </c>
      <c r="M32" s="102">
        <v>250.0</v>
      </c>
      <c r="N32" s="167">
        <f t="shared" si="5"/>
        <v>256250000</v>
      </c>
      <c r="O32" s="104">
        <f t="shared" si="8"/>
        <v>8</v>
      </c>
      <c r="P32" s="168"/>
      <c r="Q32" s="168"/>
      <c r="R32" s="168"/>
      <c r="S32" s="169"/>
      <c r="T32" s="169"/>
      <c r="U32" s="169"/>
      <c r="V32" s="108">
        <f t="shared" si="6"/>
        <v>124775</v>
      </c>
      <c r="W32" s="108">
        <f t="shared" si="7"/>
        <v>102315.5</v>
      </c>
      <c r="X32" s="169"/>
      <c r="Y32" s="169"/>
      <c r="Z32" s="169"/>
      <c r="AA32" s="169"/>
      <c r="AB32" s="169"/>
      <c r="AC32" s="169"/>
      <c r="AD32" s="169"/>
      <c r="AE32" s="169"/>
    </row>
    <row r="33" ht="15.0" customHeight="1">
      <c r="A33" s="160" t="s">
        <v>513</v>
      </c>
      <c r="B33" s="161" t="s">
        <v>514</v>
      </c>
      <c r="C33" s="162" t="s">
        <v>515</v>
      </c>
      <c r="D33" s="161" t="s">
        <v>516</v>
      </c>
      <c r="E33" s="163">
        <v>10.0</v>
      </c>
      <c r="F33" s="164">
        <v>120000.0</v>
      </c>
      <c r="G33" s="165">
        <v>5000.0</v>
      </c>
      <c r="H33" s="166">
        <v>125000.0</v>
      </c>
      <c r="I33" s="98">
        <f t="shared" si="2"/>
        <v>102500</v>
      </c>
      <c r="J33" s="99">
        <v>102500.0</v>
      </c>
      <c r="K33" s="100">
        <f t="shared" si="3"/>
        <v>84050</v>
      </c>
      <c r="L33" s="101">
        <f t="shared" si="4"/>
        <v>1025000</v>
      </c>
      <c r="M33" s="102">
        <v>250.0</v>
      </c>
      <c r="N33" s="167">
        <f t="shared" si="5"/>
        <v>256250000</v>
      </c>
      <c r="O33" s="104">
        <f t="shared" si="8"/>
        <v>8</v>
      </c>
      <c r="P33" s="168"/>
      <c r="Q33" s="168"/>
      <c r="R33" s="168"/>
      <c r="S33" s="169"/>
      <c r="T33" s="169"/>
      <c r="U33" s="169"/>
      <c r="V33" s="108">
        <f t="shared" si="6"/>
        <v>124775</v>
      </c>
      <c r="W33" s="108">
        <f t="shared" si="7"/>
        <v>102315.5</v>
      </c>
      <c r="X33" s="169"/>
      <c r="Y33" s="169"/>
      <c r="Z33" s="169"/>
      <c r="AA33" s="169"/>
      <c r="AB33" s="169"/>
      <c r="AC33" s="169"/>
      <c r="AD33" s="169"/>
      <c r="AE33" s="169"/>
    </row>
    <row r="34" ht="15.0" customHeight="1">
      <c r="A34" s="160" t="s">
        <v>517</v>
      </c>
      <c r="B34" s="161" t="s">
        <v>518</v>
      </c>
      <c r="C34" s="162" t="s">
        <v>519</v>
      </c>
      <c r="D34" s="161" t="s">
        <v>520</v>
      </c>
      <c r="E34" s="163">
        <v>10.0</v>
      </c>
      <c r="F34" s="164">
        <v>120000.0</v>
      </c>
      <c r="G34" s="165">
        <v>5000.0</v>
      </c>
      <c r="H34" s="166">
        <v>125000.0</v>
      </c>
      <c r="I34" s="98">
        <f t="shared" si="2"/>
        <v>102500</v>
      </c>
      <c r="J34" s="99">
        <v>102500.0</v>
      </c>
      <c r="K34" s="100">
        <f t="shared" si="3"/>
        <v>84050</v>
      </c>
      <c r="L34" s="101">
        <f t="shared" si="4"/>
        <v>1025000</v>
      </c>
      <c r="M34" s="102">
        <v>250.0</v>
      </c>
      <c r="N34" s="167">
        <f t="shared" si="5"/>
        <v>256250000</v>
      </c>
      <c r="O34" s="104">
        <f t="shared" si="8"/>
        <v>8</v>
      </c>
      <c r="P34" s="168"/>
      <c r="Q34" s="168"/>
      <c r="R34" s="168"/>
      <c r="S34" s="169"/>
      <c r="T34" s="169"/>
      <c r="U34" s="169"/>
      <c r="V34" s="108">
        <f t="shared" si="6"/>
        <v>124775</v>
      </c>
      <c r="W34" s="108">
        <f t="shared" si="7"/>
        <v>102315.5</v>
      </c>
      <c r="X34" s="169"/>
      <c r="Y34" s="169"/>
      <c r="Z34" s="169"/>
      <c r="AA34" s="169"/>
      <c r="AB34" s="169"/>
      <c r="AC34" s="169"/>
      <c r="AD34" s="169"/>
      <c r="AE34" s="169"/>
    </row>
    <row r="35" ht="15.0" customHeight="1">
      <c r="A35" s="170" t="s">
        <v>521</v>
      </c>
      <c r="B35" s="171" t="s">
        <v>522</v>
      </c>
      <c r="C35" s="172" t="s">
        <v>523</v>
      </c>
      <c r="D35" s="171" t="s">
        <v>524</v>
      </c>
      <c r="E35" s="173">
        <v>6.0</v>
      </c>
      <c r="F35" s="174">
        <v>135000.0</v>
      </c>
      <c r="G35" s="175">
        <v>5000.0</v>
      </c>
      <c r="H35" s="176">
        <v>140000.0</v>
      </c>
      <c r="I35" s="98">
        <f t="shared" si="2"/>
        <v>114800</v>
      </c>
      <c r="J35" s="99">
        <v>114800.0</v>
      </c>
      <c r="K35" s="100">
        <f t="shared" si="3"/>
        <v>94136</v>
      </c>
      <c r="L35" s="101">
        <f t="shared" si="4"/>
        <v>688800</v>
      </c>
      <c r="M35" s="102">
        <v>250.0</v>
      </c>
      <c r="N35" s="177">
        <f t="shared" si="5"/>
        <v>172200000</v>
      </c>
      <c r="O35" s="104">
        <f t="shared" si="8"/>
        <v>9</v>
      </c>
      <c r="P35" s="178" t="s">
        <v>525</v>
      </c>
      <c r="Q35" s="178" t="s">
        <v>526</v>
      </c>
      <c r="R35" s="178">
        <v>0.086</v>
      </c>
      <c r="S35" s="179" t="s">
        <v>527</v>
      </c>
      <c r="T35" s="179" t="s">
        <v>528</v>
      </c>
      <c r="U35" s="180" t="s">
        <v>529</v>
      </c>
      <c r="V35" s="108">
        <f t="shared" si="6"/>
        <v>139748</v>
      </c>
      <c r="W35" s="108">
        <f t="shared" si="7"/>
        <v>114593.36</v>
      </c>
      <c r="X35" s="181"/>
      <c r="Y35" s="181"/>
      <c r="Z35" s="181"/>
      <c r="AA35" s="181"/>
      <c r="AB35" s="181"/>
      <c r="AC35" s="181"/>
      <c r="AD35" s="181"/>
      <c r="AE35" s="181"/>
    </row>
    <row r="36" ht="15.0" customHeight="1">
      <c r="A36" s="170" t="s">
        <v>530</v>
      </c>
      <c r="B36" s="171" t="s">
        <v>531</v>
      </c>
      <c r="C36" s="172" t="s">
        <v>532</v>
      </c>
      <c r="D36" s="171" t="s">
        <v>533</v>
      </c>
      <c r="E36" s="173">
        <v>6.0</v>
      </c>
      <c r="F36" s="174">
        <v>135000.0</v>
      </c>
      <c r="G36" s="175">
        <v>5000.0</v>
      </c>
      <c r="H36" s="176">
        <v>140000.0</v>
      </c>
      <c r="I36" s="98">
        <f t="shared" si="2"/>
        <v>114800</v>
      </c>
      <c r="J36" s="99">
        <v>114800.0</v>
      </c>
      <c r="K36" s="100">
        <f t="shared" si="3"/>
        <v>94136</v>
      </c>
      <c r="L36" s="101">
        <f t="shared" si="4"/>
        <v>688800</v>
      </c>
      <c r="M36" s="102">
        <v>250.0</v>
      </c>
      <c r="N36" s="177">
        <f t="shared" si="5"/>
        <v>172200000</v>
      </c>
      <c r="O36" s="104">
        <f t="shared" si="8"/>
        <v>9</v>
      </c>
      <c r="P36" s="178" t="s">
        <v>525</v>
      </c>
      <c r="Q36" s="178" t="s">
        <v>526</v>
      </c>
      <c r="R36" s="178">
        <v>0.086</v>
      </c>
      <c r="S36" s="179" t="s">
        <v>527</v>
      </c>
      <c r="T36" s="179" t="s">
        <v>528</v>
      </c>
      <c r="U36" s="180" t="s">
        <v>534</v>
      </c>
      <c r="V36" s="108">
        <f t="shared" si="6"/>
        <v>139748</v>
      </c>
      <c r="W36" s="108">
        <f t="shared" si="7"/>
        <v>114593.36</v>
      </c>
      <c r="X36" s="181"/>
      <c r="Y36" s="181"/>
      <c r="Z36" s="181"/>
      <c r="AA36" s="181"/>
      <c r="AB36" s="181"/>
      <c r="AC36" s="181"/>
      <c r="AD36" s="181"/>
      <c r="AE36" s="181"/>
    </row>
    <row r="37" ht="15.0" customHeight="1">
      <c r="A37" s="80" t="s">
        <v>535</v>
      </c>
      <c r="B37" s="16"/>
      <c r="C37" s="16"/>
      <c r="D37" s="16"/>
      <c r="E37" s="16"/>
      <c r="F37" s="16"/>
      <c r="G37" s="16"/>
      <c r="H37" s="17"/>
      <c r="I37" s="98">
        <f t="shared" si="2"/>
        <v>0</v>
      </c>
      <c r="J37" s="99">
        <v>0.0</v>
      </c>
      <c r="K37" s="100">
        <f t="shared" si="3"/>
        <v>0</v>
      </c>
      <c r="L37" s="101"/>
      <c r="M37" s="102"/>
      <c r="N37" s="86"/>
      <c r="O37" s="104"/>
      <c r="P37" s="182"/>
      <c r="Q37" s="182"/>
      <c r="R37" s="182"/>
      <c r="S37" s="89"/>
      <c r="T37" s="89"/>
      <c r="U37" s="89"/>
      <c r="V37" s="90"/>
      <c r="W37" s="90"/>
      <c r="X37" s="89"/>
      <c r="Y37" s="89"/>
      <c r="Z37" s="89"/>
      <c r="AA37" s="89"/>
      <c r="AB37" s="89"/>
      <c r="AC37" s="89"/>
      <c r="AD37" s="89"/>
      <c r="AE37" s="89"/>
    </row>
    <row r="38" ht="15.0" customHeight="1">
      <c r="A38" s="183" t="s">
        <v>536</v>
      </c>
      <c r="B38" s="184" t="s">
        <v>537</v>
      </c>
      <c r="C38" s="185" t="s">
        <v>538</v>
      </c>
      <c r="D38" s="184" t="s">
        <v>539</v>
      </c>
      <c r="E38" s="186">
        <v>6.0</v>
      </c>
      <c r="F38" s="187">
        <v>210000.0</v>
      </c>
      <c r="G38" s="188">
        <v>10000.0</v>
      </c>
      <c r="H38" s="189">
        <v>220000.0</v>
      </c>
      <c r="I38" s="98">
        <f t="shared" si="2"/>
        <v>180400</v>
      </c>
      <c r="J38" s="99">
        <v>180400.0</v>
      </c>
      <c r="K38" s="100">
        <f t="shared" si="3"/>
        <v>147928</v>
      </c>
      <c r="L38" s="101">
        <f t="shared" ref="L38:L43" si="9">J38*E38</f>
        <v>1082400</v>
      </c>
      <c r="M38" s="102">
        <v>250.0</v>
      </c>
      <c r="N38" s="190">
        <f t="shared" ref="N38:N43" si="10">L38*M38</f>
        <v>270600000</v>
      </c>
      <c r="O38" s="104">
        <f t="shared" ref="O38:O43" si="11">ROUNDUP(H38/$O$2,0)</f>
        <v>13</v>
      </c>
      <c r="P38" s="191" t="s">
        <v>525</v>
      </c>
      <c r="Q38" s="191" t="s">
        <v>526</v>
      </c>
      <c r="R38" s="191">
        <v>0.086</v>
      </c>
      <c r="S38" s="192" t="s">
        <v>540</v>
      </c>
      <c r="T38" s="192" t="s">
        <v>541</v>
      </c>
      <c r="U38" s="193" t="s">
        <v>542</v>
      </c>
      <c r="V38" s="108">
        <f t="shared" ref="V38:V43" si="12">H38-(H38*$W$2%)</f>
        <v>219604</v>
      </c>
      <c r="W38" s="108">
        <f t="shared" ref="W38:W43" si="13">J38-(J38*$W$2%)</f>
        <v>180075.28</v>
      </c>
      <c r="X38" s="194"/>
      <c r="Y38" s="194"/>
      <c r="Z38" s="194"/>
      <c r="AA38" s="194"/>
      <c r="AB38" s="194"/>
      <c r="AC38" s="194"/>
      <c r="AD38" s="194"/>
      <c r="AE38" s="194"/>
    </row>
    <row r="39" ht="15.0" customHeight="1">
      <c r="A39" s="183" t="s">
        <v>543</v>
      </c>
      <c r="B39" s="184" t="s">
        <v>544</v>
      </c>
      <c r="C39" s="185" t="s">
        <v>545</v>
      </c>
      <c r="D39" s="184" t="s">
        <v>546</v>
      </c>
      <c r="E39" s="186">
        <v>6.0</v>
      </c>
      <c r="F39" s="187">
        <v>220000.0</v>
      </c>
      <c r="G39" s="188">
        <v>10000.0</v>
      </c>
      <c r="H39" s="189">
        <v>230000.0</v>
      </c>
      <c r="I39" s="98">
        <f t="shared" si="2"/>
        <v>188600</v>
      </c>
      <c r="J39" s="99">
        <v>188600.0</v>
      </c>
      <c r="K39" s="100">
        <f t="shared" si="3"/>
        <v>154652</v>
      </c>
      <c r="L39" s="101">
        <f t="shared" si="9"/>
        <v>1131600</v>
      </c>
      <c r="M39" s="102">
        <v>250.0</v>
      </c>
      <c r="N39" s="190">
        <f t="shared" si="10"/>
        <v>282900000</v>
      </c>
      <c r="O39" s="104">
        <f t="shared" si="11"/>
        <v>14</v>
      </c>
      <c r="P39" s="195"/>
      <c r="Q39" s="195"/>
      <c r="R39" s="195"/>
      <c r="S39" s="194"/>
      <c r="T39" s="194"/>
      <c r="U39" s="194"/>
      <c r="V39" s="108">
        <f t="shared" si="12"/>
        <v>229586</v>
      </c>
      <c r="W39" s="108">
        <f t="shared" si="13"/>
        <v>188260.52</v>
      </c>
      <c r="X39" s="194"/>
      <c r="Y39" s="194"/>
      <c r="Z39" s="194"/>
      <c r="AA39" s="194"/>
      <c r="AB39" s="194"/>
      <c r="AC39" s="194"/>
      <c r="AD39" s="194"/>
      <c r="AE39" s="194"/>
    </row>
    <row r="40" ht="15.0" customHeight="1">
      <c r="A40" s="183" t="s">
        <v>547</v>
      </c>
      <c r="B40" s="184" t="s">
        <v>548</v>
      </c>
      <c r="C40" s="185" t="s">
        <v>549</v>
      </c>
      <c r="D40" s="184" t="s">
        <v>550</v>
      </c>
      <c r="E40" s="186">
        <v>6.0</v>
      </c>
      <c r="F40" s="187">
        <v>240000.0</v>
      </c>
      <c r="G40" s="188">
        <v>10000.0</v>
      </c>
      <c r="H40" s="189">
        <v>250000.0</v>
      </c>
      <c r="I40" s="98">
        <f t="shared" si="2"/>
        <v>205000</v>
      </c>
      <c r="J40" s="99">
        <v>205000.0</v>
      </c>
      <c r="K40" s="100">
        <f t="shared" si="3"/>
        <v>168100</v>
      </c>
      <c r="L40" s="101">
        <f t="shared" si="9"/>
        <v>1230000</v>
      </c>
      <c r="M40" s="102">
        <v>250.0</v>
      </c>
      <c r="N40" s="190">
        <f t="shared" si="10"/>
        <v>307500000</v>
      </c>
      <c r="O40" s="104">
        <f t="shared" si="11"/>
        <v>15</v>
      </c>
      <c r="P40" s="191" t="s">
        <v>525</v>
      </c>
      <c r="Q40" s="191" t="s">
        <v>526</v>
      </c>
      <c r="R40" s="191">
        <v>0.086</v>
      </c>
      <c r="S40" s="192" t="s">
        <v>551</v>
      </c>
      <c r="T40" s="192" t="s">
        <v>552</v>
      </c>
      <c r="U40" s="193" t="s">
        <v>553</v>
      </c>
      <c r="V40" s="108">
        <f t="shared" si="12"/>
        <v>249550</v>
      </c>
      <c r="W40" s="108">
        <f t="shared" si="13"/>
        <v>204631</v>
      </c>
      <c r="X40" s="194"/>
      <c r="Y40" s="194"/>
      <c r="Z40" s="194"/>
      <c r="AA40" s="194"/>
      <c r="AB40" s="194"/>
      <c r="AC40" s="194"/>
      <c r="AD40" s="194"/>
      <c r="AE40" s="194"/>
    </row>
    <row r="41" ht="15.0" customHeight="1">
      <c r="A41" s="183" t="s">
        <v>554</v>
      </c>
      <c r="B41" s="184" t="s">
        <v>555</v>
      </c>
      <c r="C41" s="185" t="s">
        <v>556</v>
      </c>
      <c r="D41" s="184" t="s">
        <v>557</v>
      </c>
      <c r="E41" s="186">
        <v>6.0</v>
      </c>
      <c r="F41" s="187">
        <v>240000.0</v>
      </c>
      <c r="G41" s="188">
        <v>10000.0</v>
      </c>
      <c r="H41" s="189">
        <v>250000.0</v>
      </c>
      <c r="I41" s="98">
        <f t="shared" si="2"/>
        <v>205000</v>
      </c>
      <c r="J41" s="99">
        <v>205000.0</v>
      </c>
      <c r="K41" s="100">
        <f t="shared" si="3"/>
        <v>168100</v>
      </c>
      <c r="L41" s="101">
        <f t="shared" si="9"/>
        <v>1230000</v>
      </c>
      <c r="M41" s="102">
        <v>250.0</v>
      </c>
      <c r="N41" s="190">
        <f t="shared" si="10"/>
        <v>307500000</v>
      </c>
      <c r="O41" s="104">
        <f t="shared" si="11"/>
        <v>15</v>
      </c>
      <c r="P41" s="191" t="s">
        <v>525</v>
      </c>
      <c r="Q41" s="191" t="s">
        <v>526</v>
      </c>
      <c r="R41" s="191">
        <v>0.086</v>
      </c>
      <c r="S41" s="192" t="s">
        <v>551</v>
      </c>
      <c r="T41" s="192" t="s">
        <v>552</v>
      </c>
      <c r="U41" s="193" t="s">
        <v>558</v>
      </c>
      <c r="V41" s="108">
        <f t="shared" si="12"/>
        <v>249550</v>
      </c>
      <c r="W41" s="108">
        <f t="shared" si="13"/>
        <v>204631</v>
      </c>
      <c r="X41" s="194"/>
      <c r="Y41" s="194"/>
      <c r="Z41" s="194"/>
      <c r="AA41" s="194"/>
      <c r="AB41" s="194"/>
      <c r="AC41" s="194"/>
      <c r="AD41" s="194"/>
      <c r="AE41" s="194"/>
    </row>
    <row r="42" ht="15.0" customHeight="1">
      <c r="A42" s="183" t="s">
        <v>559</v>
      </c>
      <c r="B42" s="184" t="s">
        <v>560</v>
      </c>
      <c r="C42" s="185" t="s">
        <v>561</v>
      </c>
      <c r="D42" s="184" t="s">
        <v>562</v>
      </c>
      <c r="E42" s="186">
        <v>5.0</v>
      </c>
      <c r="F42" s="187">
        <v>245000.0</v>
      </c>
      <c r="G42" s="188">
        <v>10000.0</v>
      </c>
      <c r="H42" s="189">
        <v>255000.0</v>
      </c>
      <c r="I42" s="98">
        <f t="shared" si="2"/>
        <v>209100</v>
      </c>
      <c r="J42" s="99">
        <v>209100.0</v>
      </c>
      <c r="K42" s="100">
        <f t="shared" si="3"/>
        <v>171462</v>
      </c>
      <c r="L42" s="101">
        <f t="shared" si="9"/>
        <v>1045500</v>
      </c>
      <c r="M42" s="102">
        <v>250.0</v>
      </c>
      <c r="N42" s="190">
        <f t="shared" si="10"/>
        <v>261375000</v>
      </c>
      <c r="O42" s="104">
        <f t="shared" si="11"/>
        <v>15</v>
      </c>
      <c r="P42" s="191" t="s">
        <v>525</v>
      </c>
      <c r="Q42" s="191" t="s">
        <v>526</v>
      </c>
      <c r="R42" s="191">
        <v>0.086</v>
      </c>
      <c r="S42" s="192" t="s">
        <v>551</v>
      </c>
      <c r="T42" s="192" t="s">
        <v>552</v>
      </c>
      <c r="U42" s="193" t="s">
        <v>563</v>
      </c>
      <c r="V42" s="108">
        <f t="shared" si="12"/>
        <v>254541</v>
      </c>
      <c r="W42" s="108">
        <f t="shared" si="13"/>
        <v>208723.62</v>
      </c>
      <c r="X42" s="194"/>
      <c r="Y42" s="194"/>
      <c r="Z42" s="194"/>
      <c r="AA42" s="194"/>
      <c r="AB42" s="194"/>
      <c r="AC42" s="194"/>
      <c r="AD42" s="194"/>
      <c r="AE42" s="194"/>
    </row>
    <row r="43" ht="15.0" customHeight="1">
      <c r="A43" s="183" t="s">
        <v>564</v>
      </c>
      <c r="B43" s="184" t="s">
        <v>565</v>
      </c>
      <c r="C43" s="185" t="s">
        <v>566</v>
      </c>
      <c r="D43" s="184" t="s">
        <v>567</v>
      </c>
      <c r="E43" s="186">
        <v>6.0</v>
      </c>
      <c r="F43" s="187">
        <v>260000.0</v>
      </c>
      <c r="G43" s="188">
        <v>10000.0</v>
      </c>
      <c r="H43" s="189">
        <v>270000.0</v>
      </c>
      <c r="I43" s="98">
        <f t="shared" si="2"/>
        <v>221400</v>
      </c>
      <c r="J43" s="99">
        <v>221400.0</v>
      </c>
      <c r="K43" s="100">
        <f t="shared" si="3"/>
        <v>181548</v>
      </c>
      <c r="L43" s="101">
        <f t="shared" si="9"/>
        <v>1328400</v>
      </c>
      <c r="M43" s="102">
        <v>250.0</v>
      </c>
      <c r="N43" s="190">
        <f t="shared" si="10"/>
        <v>332100000</v>
      </c>
      <c r="O43" s="104">
        <f t="shared" si="11"/>
        <v>16</v>
      </c>
      <c r="P43" s="195"/>
      <c r="Q43" s="195"/>
      <c r="R43" s="195"/>
      <c r="S43" s="194"/>
      <c r="T43" s="194"/>
      <c r="U43" s="194"/>
      <c r="V43" s="108">
        <f t="shared" si="12"/>
        <v>269514</v>
      </c>
      <c r="W43" s="108">
        <f t="shared" si="13"/>
        <v>221001.48</v>
      </c>
      <c r="X43" s="194"/>
      <c r="Y43" s="194"/>
      <c r="Z43" s="194"/>
      <c r="AA43" s="194"/>
      <c r="AB43" s="194"/>
      <c r="AC43" s="194"/>
      <c r="AD43" s="194"/>
      <c r="AE43" s="194"/>
    </row>
    <row r="44" ht="15.0" customHeight="1">
      <c r="A44" s="196" t="s">
        <v>568</v>
      </c>
      <c r="B44" s="16"/>
      <c r="C44" s="16"/>
      <c r="D44" s="16"/>
      <c r="E44" s="16"/>
      <c r="F44" s="16"/>
      <c r="G44" s="16"/>
      <c r="H44" s="17"/>
      <c r="I44" s="98">
        <f t="shared" si="2"/>
        <v>0</v>
      </c>
      <c r="J44" s="99">
        <v>0.0</v>
      </c>
      <c r="K44" s="100">
        <f t="shared" si="3"/>
        <v>0</v>
      </c>
      <c r="L44" s="101"/>
      <c r="M44" s="102"/>
      <c r="N44" s="86"/>
      <c r="O44" s="104"/>
      <c r="P44" s="182"/>
      <c r="Q44" s="182"/>
      <c r="R44" s="182"/>
      <c r="S44" s="89"/>
      <c r="T44" s="89"/>
      <c r="U44" s="89"/>
      <c r="V44" s="90"/>
      <c r="W44" s="90"/>
      <c r="X44" s="89"/>
      <c r="Y44" s="89"/>
      <c r="Z44" s="89"/>
      <c r="AA44" s="89"/>
      <c r="AB44" s="89"/>
      <c r="AC44" s="89"/>
      <c r="AD44" s="89"/>
      <c r="AE44" s="89"/>
    </row>
    <row r="45" ht="15.0" customHeight="1">
      <c r="A45" s="197" t="s">
        <v>569</v>
      </c>
      <c r="B45" s="198" t="s">
        <v>570</v>
      </c>
      <c r="C45" s="199" t="s">
        <v>571</v>
      </c>
      <c r="D45" s="198" t="s">
        <v>572</v>
      </c>
      <c r="E45" s="200">
        <v>6.0</v>
      </c>
      <c r="F45" s="201">
        <v>199000.0</v>
      </c>
      <c r="G45" s="202"/>
      <c r="H45" s="203">
        <v>199000.0</v>
      </c>
      <c r="I45" s="98">
        <f t="shared" si="2"/>
        <v>163180</v>
      </c>
      <c r="J45" s="99">
        <v>163180.0</v>
      </c>
      <c r="K45" s="100">
        <f t="shared" si="3"/>
        <v>133807.6</v>
      </c>
      <c r="L45" s="101">
        <f t="shared" ref="L45:L47" si="14">J45*E45</f>
        <v>979080</v>
      </c>
      <c r="M45" s="102">
        <v>250.0</v>
      </c>
      <c r="N45" s="204">
        <f>L45*M45</f>
        <v>244770000</v>
      </c>
      <c r="O45" s="104">
        <f>ROUNDUP(H45/$O$2,0)</f>
        <v>12</v>
      </c>
      <c r="P45" s="205" t="s">
        <v>525</v>
      </c>
      <c r="Q45" s="205" t="s">
        <v>526</v>
      </c>
      <c r="R45" s="205">
        <v>0.086</v>
      </c>
      <c r="S45" s="206" t="s">
        <v>573</v>
      </c>
      <c r="T45" s="206" t="s">
        <v>574</v>
      </c>
      <c r="U45" s="207" t="s">
        <v>575</v>
      </c>
      <c r="V45" s="108">
        <f>H45-(H45*$W$2%)</f>
        <v>198641.8</v>
      </c>
      <c r="W45" s="108">
        <f>J45-(J45*$W$2%)</f>
        <v>162886.276</v>
      </c>
      <c r="X45" s="208"/>
      <c r="Y45" s="208"/>
      <c r="Z45" s="208"/>
      <c r="AA45" s="208"/>
      <c r="AB45" s="208"/>
      <c r="AC45" s="208"/>
      <c r="AD45" s="208"/>
      <c r="AE45" s="208"/>
    </row>
    <row r="46" ht="15.0" customHeight="1">
      <c r="A46" s="209" t="s">
        <v>576</v>
      </c>
      <c r="B46" s="16"/>
      <c r="C46" s="16"/>
      <c r="D46" s="16"/>
      <c r="E46" s="16"/>
      <c r="F46" s="16"/>
      <c r="G46" s="16"/>
      <c r="H46" s="17"/>
      <c r="I46" s="98">
        <f t="shared" si="2"/>
        <v>0</v>
      </c>
      <c r="J46" s="99">
        <v>0.0</v>
      </c>
      <c r="K46" s="100">
        <f t="shared" si="3"/>
        <v>0</v>
      </c>
      <c r="L46" s="101">
        <f t="shared" si="14"/>
        <v>0</v>
      </c>
      <c r="M46" s="102"/>
      <c r="N46" s="86"/>
      <c r="O46" s="104"/>
      <c r="P46" s="182"/>
      <c r="Q46" s="182"/>
      <c r="R46" s="182"/>
      <c r="S46" s="89"/>
      <c r="T46" s="89"/>
      <c r="U46" s="89"/>
      <c r="V46" s="90"/>
      <c r="W46" s="90"/>
      <c r="X46" s="89"/>
      <c r="Y46" s="89"/>
      <c r="Z46" s="89"/>
      <c r="AA46" s="89"/>
      <c r="AB46" s="89"/>
      <c r="AC46" s="89"/>
      <c r="AD46" s="89"/>
      <c r="AE46" s="89"/>
    </row>
    <row r="47" ht="15.0" customHeight="1">
      <c r="A47" s="210" t="s">
        <v>577</v>
      </c>
      <c r="B47" s="211" t="s">
        <v>578</v>
      </c>
      <c r="C47" s="212" t="s">
        <v>579</v>
      </c>
      <c r="D47" s="213" t="s">
        <v>580</v>
      </c>
      <c r="E47" s="214">
        <v>6.0</v>
      </c>
      <c r="F47" s="215">
        <v>299000.0</v>
      </c>
      <c r="G47" s="216"/>
      <c r="H47" s="217">
        <v>299000.0</v>
      </c>
      <c r="I47" s="98">
        <f t="shared" si="2"/>
        <v>245180</v>
      </c>
      <c r="J47" s="99">
        <v>245180.0</v>
      </c>
      <c r="K47" s="100">
        <f t="shared" si="3"/>
        <v>201047.6</v>
      </c>
      <c r="L47" s="101">
        <f t="shared" si="14"/>
        <v>1471080</v>
      </c>
      <c r="M47" s="102">
        <v>250.0</v>
      </c>
      <c r="N47" s="139">
        <f>L47*M47</f>
        <v>367770000</v>
      </c>
      <c r="O47" s="104">
        <f>ROUNDUP(H47/$O$2,0)</f>
        <v>18</v>
      </c>
      <c r="P47" s="140" t="s">
        <v>525</v>
      </c>
      <c r="Q47" s="140" t="s">
        <v>526</v>
      </c>
      <c r="R47" s="140">
        <v>0.086</v>
      </c>
      <c r="S47" s="141" t="s">
        <v>581</v>
      </c>
      <c r="T47" s="141" t="s">
        <v>582</v>
      </c>
      <c r="U47" s="142" t="s">
        <v>583</v>
      </c>
      <c r="V47" s="108">
        <f>H47-(H47*$W$2%)</f>
        <v>298461.8</v>
      </c>
      <c r="W47" s="108">
        <f>J47-(J47*$W$2%)</f>
        <v>244738.676</v>
      </c>
      <c r="X47" s="143"/>
      <c r="Y47" s="143"/>
      <c r="Z47" s="143"/>
      <c r="AA47" s="143"/>
      <c r="AB47" s="143"/>
      <c r="AC47" s="143"/>
      <c r="AD47" s="143"/>
      <c r="AE47" s="143"/>
    </row>
    <row r="48" ht="15.0" customHeight="1">
      <c r="A48" s="209" t="s">
        <v>584</v>
      </c>
      <c r="B48" s="16"/>
      <c r="C48" s="16"/>
      <c r="D48" s="16"/>
      <c r="E48" s="16"/>
      <c r="F48" s="16"/>
      <c r="G48" s="16"/>
      <c r="H48" s="17"/>
      <c r="I48" s="98">
        <f t="shared" si="2"/>
        <v>0</v>
      </c>
      <c r="J48" s="99">
        <v>0.0</v>
      </c>
      <c r="K48" s="100">
        <f t="shared" si="3"/>
        <v>0</v>
      </c>
      <c r="L48" s="101"/>
      <c r="M48" s="102"/>
      <c r="N48" s="86"/>
      <c r="O48" s="104"/>
      <c r="P48" s="182"/>
      <c r="Q48" s="182"/>
      <c r="R48" s="182"/>
      <c r="S48" s="89"/>
      <c r="T48" s="89"/>
      <c r="U48" s="89"/>
      <c r="V48" s="90"/>
      <c r="W48" s="90"/>
      <c r="X48" s="89"/>
      <c r="Y48" s="89"/>
      <c r="Z48" s="89"/>
      <c r="AA48" s="89"/>
      <c r="AB48" s="89"/>
      <c r="AC48" s="89"/>
      <c r="AD48" s="89"/>
      <c r="AE48" s="89"/>
    </row>
    <row r="49" ht="15.0" customHeight="1">
      <c r="A49" s="91" t="s">
        <v>585</v>
      </c>
      <c r="B49" s="92" t="s">
        <v>586</v>
      </c>
      <c r="C49" s="92" t="s">
        <v>587</v>
      </c>
      <c r="D49" s="92" t="s">
        <v>588</v>
      </c>
      <c r="E49" s="94">
        <v>12.0</v>
      </c>
      <c r="F49" s="95">
        <v>53000.0</v>
      </c>
      <c r="G49" s="96">
        <v>3000.0</v>
      </c>
      <c r="H49" s="97">
        <v>56000.0</v>
      </c>
      <c r="I49" s="98">
        <f t="shared" si="2"/>
        <v>45920</v>
      </c>
      <c r="J49" s="99">
        <v>45920.0</v>
      </c>
      <c r="K49" s="100">
        <f t="shared" si="3"/>
        <v>37654.4</v>
      </c>
      <c r="L49" s="101">
        <f t="shared" ref="L49:L66" si="15">J49*E49</f>
        <v>551040</v>
      </c>
      <c r="M49" s="102">
        <v>250.0</v>
      </c>
      <c r="N49" s="103">
        <f t="shared" ref="N49:N63" si="16">L49*M49</f>
        <v>137760000</v>
      </c>
      <c r="O49" s="104">
        <f t="shared" ref="O49:O63" si="17">ROUNDUP(H49/$O$2,0)</f>
        <v>4</v>
      </c>
      <c r="P49" s="218"/>
      <c r="Q49" s="218"/>
      <c r="R49" s="218"/>
      <c r="S49" s="90"/>
      <c r="T49" s="90"/>
      <c r="U49" s="90"/>
      <c r="V49" s="108">
        <f t="shared" ref="V49:V63" si="18">H49-(H49*$W$2%)</f>
        <v>55899.2</v>
      </c>
      <c r="W49" s="108">
        <f t="shared" ref="W49:W63" si="19">J49-(J49*$W$2%)</f>
        <v>45837.344</v>
      </c>
      <c r="X49" s="90"/>
      <c r="Y49" s="90"/>
      <c r="Z49" s="90"/>
      <c r="AA49" s="90"/>
      <c r="AB49" s="90"/>
      <c r="AC49" s="90"/>
      <c r="AD49" s="90"/>
      <c r="AE49" s="90"/>
    </row>
    <row r="50" ht="15.0" customHeight="1">
      <c r="A50" s="91" t="s">
        <v>589</v>
      </c>
      <c r="B50" s="92" t="s">
        <v>590</v>
      </c>
      <c r="C50" s="92" t="s">
        <v>591</v>
      </c>
      <c r="D50" s="92" t="s">
        <v>592</v>
      </c>
      <c r="E50" s="94">
        <v>10.0</v>
      </c>
      <c r="F50" s="95">
        <v>62000.0</v>
      </c>
      <c r="G50" s="96">
        <v>3000.0</v>
      </c>
      <c r="H50" s="97">
        <v>65000.0</v>
      </c>
      <c r="I50" s="98">
        <f t="shared" si="2"/>
        <v>53300</v>
      </c>
      <c r="J50" s="99">
        <v>53300.0</v>
      </c>
      <c r="K50" s="100">
        <f t="shared" si="3"/>
        <v>43706</v>
      </c>
      <c r="L50" s="101">
        <f t="shared" si="15"/>
        <v>533000</v>
      </c>
      <c r="M50" s="102">
        <v>250.0</v>
      </c>
      <c r="N50" s="103">
        <f t="shared" si="16"/>
        <v>133250000</v>
      </c>
      <c r="O50" s="104">
        <f t="shared" si="17"/>
        <v>4</v>
      </c>
      <c r="P50" s="218"/>
      <c r="Q50" s="218"/>
      <c r="R50" s="218"/>
      <c r="S50" s="90"/>
      <c r="T50" s="90"/>
      <c r="U50" s="90"/>
      <c r="V50" s="108">
        <f t="shared" si="18"/>
        <v>64883</v>
      </c>
      <c r="W50" s="108">
        <f t="shared" si="19"/>
        <v>53204.06</v>
      </c>
      <c r="X50" s="90"/>
      <c r="Y50" s="90"/>
      <c r="Z50" s="90"/>
      <c r="AA50" s="90"/>
      <c r="AB50" s="90"/>
      <c r="AC50" s="90"/>
      <c r="AD50" s="90"/>
      <c r="AE50" s="90"/>
    </row>
    <row r="51" ht="15.0" customHeight="1">
      <c r="A51" s="91" t="s">
        <v>593</v>
      </c>
      <c r="B51" s="92" t="s">
        <v>594</v>
      </c>
      <c r="C51" s="93" t="s">
        <v>595</v>
      </c>
      <c r="D51" s="219" t="s">
        <v>131</v>
      </c>
      <c r="E51" s="94">
        <v>10.0</v>
      </c>
      <c r="F51" s="95">
        <v>79000.0</v>
      </c>
      <c r="G51" s="96">
        <v>5000.0</v>
      </c>
      <c r="H51" s="97">
        <v>84000.0</v>
      </c>
      <c r="I51" s="98">
        <f t="shared" si="2"/>
        <v>68880</v>
      </c>
      <c r="J51" s="99">
        <v>68880.0</v>
      </c>
      <c r="K51" s="100">
        <f t="shared" si="3"/>
        <v>56481.6</v>
      </c>
      <c r="L51" s="101">
        <f t="shared" si="15"/>
        <v>688800</v>
      </c>
      <c r="M51" s="102">
        <v>250.0</v>
      </c>
      <c r="N51" s="103">
        <f t="shared" si="16"/>
        <v>172200000</v>
      </c>
      <c r="O51" s="104">
        <f t="shared" si="17"/>
        <v>5</v>
      </c>
      <c r="P51" s="105" t="s">
        <v>412</v>
      </c>
      <c r="Q51" s="105" t="s">
        <v>413</v>
      </c>
      <c r="R51" s="105">
        <v>0.12</v>
      </c>
      <c r="S51" s="106" t="s">
        <v>596</v>
      </c>
      <c r="T51" s="106" t="s">
        <v>597</v>
      </c>
      <c r="U51" s="107" t="s">
        <v>598</v>
      </c>
      <c r="V51" s="108">
        <f t="shared" si="18"/>
        <v>83848.8</v>
      </c>
      <c r="W51" s="108">
        <f t="shared" si="19"/>
        <v>68756.016</v>
      </c>
      <c r="X51" s="90"/>
      <c r="Y51" s="90"/>
      <c r="Z51" s="90"/>
      <c r="AA51" s="90"/>
      <c r="AB51" s="90"/>
      <c r="AC51" s="90"/>
      <c r="AD51" s="90"/>
      <c r="AE51" s="90"/>
    </row>
    <row r="52" ht="15.0" customHeight="1">
      <c r="A52" s="91" t="s">
        <v>599</v>
      </c>
      <c r="B52" s="92" t="s">
        <v>600</v>
      </c>
      <c r="C52" s="93" t="s">
        <v>601</v>
      </c>
      <c r="D52" s="92" t="s">
        <v>602</v>
      </c>
      <c r="E52" s="94">
        <v>10.0</v>
      </c>
      <c r="F52" s="95">
        <v>84000.0</v>
      </c>
      <c r="G52" s="96">
        <v>5000.0</v>
      </c>
      <c r="H52" s="97">
        <v>89000.0</v>
      </c>
      <c r="I52" s="98">
        <f t="shared" si="2"/>
        <v>72980</v>
      </c>
      <c r="J52" s="99">
        <v>72980.0</v>
      </c>
      <c r="K52" s="100">
        <f t="shared" si="3"/>
        <v>59843.6</v>
      </c>
      <c r="L52" s="101">
        <f t="shared" si="15"/>
        <v>729800</v>
      </c>
      <c r="M52" s="102">
        <v>250.0</v>
      </c>
      <c r="N52" s="103">
        <f t="shared" si="16"/>
        <v>182450000</v>
      </c>
      <c r="O52" s="104">
        <f t="shared" si="17"/>
        <v>6</v>
      </c>
      <c r="P52" s="105" t="s">
        <v>412</v>
      </c>
      <c r="Q52" s="105" t="s">
        <v>413</v>
      </c>
      <c r="R52" s="105">
        <v>0.12</v>
      </c>
      <c r="S52" s="106" t="s">
        <v>596</v>
      </c>
      <c r="T52" s="106" t="s">
        <v>597</v>
      </c>
      <c r="U52" s="107" t="s">
        <v>603</v>
      </c>
      <c r="V52" s="108">
        <f t="shared" si="18"/>
        <v>88839.8</v>
      </c>
      <c r="W52" s="108">
        <f t="shared" si="19"/>
        <v>72848.636</v>
      </c>
      <c r="X52" s="90"/>
      <c r="Y52" s="90"/>
      <c r="Z52" s="90"/>
      <c r="AA52" s="90"/>
      <c r="AB52" s="90"/>
      <c r="AC52" s="90"/>
      <c r="AD52" s="90"/>
      <c r="AE52" s="90"/>
    </row>
    <row r="53" ht="15.0" customHeight="1">
      <c r="A53" s="91" t="s">
        <v>604</v>
      </c>
      <c r="B53" s="92" t="s">
        <v>605</v>
      </c>
      <c r="C53" s="92" t="s">
        <v>606</v>
      </c>
      <c r="D53" s="92" t="s">
        <v>607</v>
      </c>
      <c r="E53" s="94">
        <v>12.0</v>
      </c>
      <c r="F53" s="95">
        <v>62000.0</v>
      </c>
      <c r="G53" s="96">
        <v>3000.0</v>
      </c>
      <c r="H53" s="97">
        <v>65000.0</v>
      </c>
      <c r="I53" s="98">
        <f t="shared" si="2"/>
        <v>53300</v>
      </c>
      <c r="J53" s="99">
        <v>53300.0</v>
      </c>
      <c r="K53" s="100">
        <f t="shared" si="3"/>
        <v>43706</v>
      </c>
      <c r="L53" s="101">
        <f t="shared" si="15"/>
        <v>639600</v>
      </c>
      <c r="M53" s="102">
        <v>250.0</v>
      </c>
      <c r="N53" s="103">
        <f t="shared" si="16"/>
        <v>159900000</v>
      </c>
      <c r="O53" s="104">
        <f t="shared" si="17"/>
        <v>4</v>
      </c>
      <c r="P53" s="218"/>
      <c r="Q53" s="218"/>
      <c r="R53" s="218"/>
      <c r="S53" s="90"/>
      <c r="T53" s="90"/>
      <c r="U53" s="90"/>
      <c r="V53" s="108">
        <f t="shared" si="18"/>
        <v>64883</v>
      </c>
      <c r="W53" s="108">
        <f t="shared" si="19"/>
        <v>53204.06</v>
      </c>
      <c r="X53" s="90"/>
      <c r="Y53" s="90"/>
      <c r="Z53" s="90"/>
      <c r="AA53" s="90"/>
      <c r="AB53" s="90"/>
      <c r="AC53" s="90"/>
      <c r="AD53" s="90"/>
      <c r="AE53" s="90"/>
    </row>
    <row r="54" ht="15.0" customHeight="1">
      <c r="A54" s="91" t="s">
        <v>608</v>
      </c>
      <c r="B54" s="92" t="s">
        <v>609</v>
      </c>
      <c r="C54" s="92" t="s">
        <v>610</v>
      </c>
      <c r="D54" s="92" t="s">
        <v>611</v>
      </c>
      <c r="E54" s="94">
        <v>12.0</v>
      </c>
      <c r="F54" s="95">
        <v>57000.0</v>
      </c>
      <c r="G54" s="96">
        <v>3000.0</v>
      </c>
      <c r="H54" s="97">
        <v>60000.0</v>
      </c>
      <c r="I54" s="98">
        <f t="shared" si="2"/>
        <v>49200</v>
      </c>
      <c r="J54" s="99">
        <v>49200.0</v>
      </c>
      <c r="K54" s="100">
        <f t="shared" si="3"/>
        <v>40344</v>
      </c>
      <c r="L54" s="101">
        <f t="shared" si="15"/>
        <v>590400</v>
      </c>
      <c r="M54" s="102">
        <v>250.0</v>
      </c>
      <c r="N54" s="103">
        <f t="shared" si="16"/>
        <v>147600000</v>
      </c>
      <c r="O54" s="104">
        <f t="shared" si="17"/>
        <v>4</v>
      </c>
      <c r="P54" s="218"/>
      <c r="Q54" s="218"/>
      <c r="R54" s="218"/>
      <c r="S54" s="90"/>
      <c r="T54" s="90"/>
      <c r="U54" s="90"/>
      <c r="V54" s="108">
        <f t="shared" si="18"/>
        <v>59892</v>
      </c>
      <c r="W54" s="108">
        <f t="shared" si="19"/>
        <v>49111.44</v>
      </c>
      <c r="X54" s="90"/>
      <c r="Y54" s="90"/>
      <c r="Z54" s="90"/>
      <c r="AA54" s="90"/>
      <c r="AB54" s="90"/>
      <c r="AC54" s="90"/>
      <c r="AD54" s="90"/>
      <c r="AE54" s="90"/>
    </row>
    <row r="55" ht="15.0" customHeight="1">
      <c r="A55" s="91" t="s">
        <v>612</v>
      </c>
      <c r="B55" s="92" t="s">
        <v>613</v>
      </c>
      <c r="C55" s="93" t="s">
        <v>614</v>
      </c>
      <c r="D55" s="92" t="s">
        <v>615</v>
      </c>
      <c r="E55" s="94">
        <v>10.0</v>
      </c>
      <c r="F55" s="220"/>
      <c r="G55" s="220"/>
      <c r="H55" s="97">
        <v>58000.0</v>
      </c>
      <c r="I55" s="98">
        <f t="shared" si="2"/>
        <v>47560</v>
      </c>
      <c r="J55" s="99">
        <v>47560.0</v>
      </c>
      <c r="K55" s="100">
        <f t="shared" si="3"/>
        <v>38999.2</v>
      </c>
      <c r="L55" s="101">
        <f t="shared" si="15"/>
        <v>475600</v>
      </c>
      <c r="M55" s="102">
        <v>250.0</v>
      </c>
      <c r="N55" s="103">
        <f t="shared" si="16"/>
        <v>118900000</v>
      </c>
      <c r="O55" s="104">
        <f t="shared" si="17"/>
        <v>4</v>
      </c>
      <c r="P55" s="218"/>
      <c r="Q55" s="218"/>
      <c r="R55" s="218"/>
      <c r="S55" s="90"/>
      <c r="T55" s="90"/>
      <c r="U55" s="90"/>
      <c r="V55" s="108">
        <f t="shared" si="18"/>
        <v>57895.6</v>
      </c>
      <c r="W55" s="108">
        <f t="shared" si="19"/>
        <v>47474.392</v>
      </c>
      <c r="X55" s="90"/>
      <c r="Y55" s="90"/>
      <c r="Z55" s="90"/>
      <c r="AA55" s="90"/>
      <c r="AB55" s="90"/>
      <c r="AC55" s="90"/>
      <c r="AD55" s="90"/>
      <c r="AE55" s="90"/>
    </row>
    <row r="56" ht="15.0" customHeight="1">
      <c r="A56" s="91" t="s">
        <v>616</v>
      </c>
      <c r="B56" s="92" t="s">
        <v>617</v>
      </c>
      <c r="C56" s="93" t="s">
        <v>618</v>
      </c>
      <c r="D56" s="92" t="s">
        <v>619</v>
      </c>
      <c r="E56" s="94">
        <v>10.0</v>
      </c>
      <c r="F56" s="220"/>
      <c r="G56" s="220"/>
      <c r="H56" s="97">
        <v>68000.0</v>
      </c>
      <c r="I56" s="98">
        <f t="shared" si="2"/>
        <v>55760</v>
      </c>
      <c r="J56" s="99">
        <v>55760.0</v>
      </c>
      <c r="K56" s="100">
        <f t="shared" si="3"/>
        <v>45723.2</v>
      </c>
      <c r="L56" s="101">
        <f t="shared" si="15"/>
        <v>557600</v>
      </c>
      <c r="M56" s="102">
        <v>250.0</v>
      </c>
      <c r="N56" s="103">
        <f t="shared" si="16"/>
        <v>139400000</v>
      </c>
      <c r="O56" s="104">
        <f t="shared" si="17"/>
        <v>4</v>
      </c>
      <c r="P56" s="218"/>
      <c r="Q56" s="218"/>
      <c r="R56" s="218"/>
      <c r="S56" s="90"/>
      <c r="T56" s="90"/>
      <c r="U56" s="90"/>
      <c r="V56" s="108">
        <f t="shared" si="18"/>
        <v>67877.6</v>
      </c>
      <c r="W56" s="108">
        <f t="shared" si="19"/>
        <v>55659.632</v>
      </c>
      <c r="X56" s="90"/>
      <c r="Y56" s="90"/>
      <c r="Z56" s="90"/>
      <c r="AA56" s="90"/>
      <c r="AB56" s="90"/>
      <c r="AC56" s="90"/>
      <c r="AD56" s="90"/>
      <c r="AE56" s="90"/>
    </row>
    <row r="57" ht="15.0" customHeight="1">
      <c r="A57" s="91" t="s">
        <v>620</v>
      </c>
      <c r="B57" s="92" t="s">
        <v>621</v>
      </c>
      <c r="C57" s="93" t="s">
        <v>622</v>
      </c>
      <c r="D57" s="92" t="s">
        <v>623</v>
      </c>
      <c r="E57" s="94">
        <v>12.0</v>
      </c>
      <c r="F57" s="95">
        <v>90000.0</v>
      </c>
      <c r="G57" s="96">
        <v>5000.0</v>
      </c>
      <c r="H57" s="97">
        <v>95000.0</v>
      </c>
      <c r="I57" s="98">
        <f t="shared" si="2"/>
        <v>77900</v>
      </c>
      <c r="J57" s="99">
        <v>77900.0</v>
      </c>
      <c r="K57" s="100">
        <f t="shared" si="3"/>
        <v>63878</v>
      </c>
      <c r="L57" s="101">
        <f t="shared" si="15"/>
        <v>934800</v>
      </c>
      <c r="M57" s="102">
        <v>250.0</v>
      </c>
      <c r="N57" s="103">
        <f t="shared" si="16"/>
        <v>233700000</v>
      </c>
      <c r="O57" s="104">
        <f t="shared" si="17"/>
        <v>6</v>
      </c>
      <c r="P57" s="218"/>
      <c r="Q57" s="218"/>
      <c r="R57" s="218"/>
      <c r="S57" s="90"/>
      <c r="T57" s="90"/>
      <c r="U57" s="90"/>
      <c r="V57" s="108">
        <f t="shared" si="18"/>
        <v>94829</v>
      </c>
      <c r="W57" s="108">
        <f t="shared" si="19"/>
        <v>77759.78</v>
      </c>
      <c r="X57" s="90"/>
      <c r="Y57" s="90"/>
      <c r="Z57" s="90"/>
      <c r="AA57" s="90"/>
      <c r="AB57" s="90"/>
      <c r="AC57" s="90"/>
      <c r="AD57" s="90"/>
      <c r="AE57" s="90"/>
    </row>
    <row r="58" ht="15.0" customHeight="1">
      <c r="A58" s="91" t="s">
        <v>624</v>
      </c>
      <c r="B58" s="92" t="s">
        <v>625</v>
      </c>
      <c r="C58" s="93" t="s">
        <v>626</v>
      </c>
      <c r="D58" s="92" t="s">
        <v>627</v>
      </c>
      <c r="E58" s="94">
        <v>10.0</v>
      </c>
      <c r="F58" s="95">
        <v>85000.0</v>
      </c>
      <c r="G58" s="96">
        <v>5000.0</v>
      </c>
      <c r="H58" s="97">
        <v>90000.0</v>
      </c>
      <c r="I58" s="98">
        <f t="shared" si="2"/>
        <v>73800</v>
      </c>
      <c r="J58" s="99">
        <v>73800.0</v>
      </c>
      <c r="K58" s="100">
        <f t="shared" si="3"/>
        <v>60516</v>
      </c>
      <c r="L58" s="101">
        <f t="shared" si="15"/>
        <v>738000</v>
      </c>
      <c r="M58" s="102">
        <v>250.0</v>
      </c>
      <c r="N58" s="103">
        <f t="shared" si="16"/>
        <v>184500000</v>
      </c>
      <c r="O58" s="104">
        <f t="shared" si="17"/>
        <v>6</v>
      </c>
      <c r="P58" s="218"/>
      <c r="Q58" s="218"/>
      <c r="R58" s="218"/>
      <c r="S58" s="90"/>
      <c r="T58" s="90"/>
      <c r="U58" s="90"/>
      <c r="V58" s="108">
        <f t="shared" si="18"/>
        <v>89838</v>
      </c>
      <c r="W58" s="108">
        <f t="shared" si="19"/>
        <v>73667.16</v>
      </c>
      <c r="X58" s="90"/>
      <c r="Y58" s="90"/>
      <c r="Z58" s="90"/>
      <c r="AA58" s="90"/>
      <c r="AB58" s="90"/>
      <c r="AC58" s="90"/>
      <c r="AD58" s="90"/>
      <c r="AE58" s="90"/>
    </row>
    <row r="59" ht="15.0" customHeight="1">
      <c r="A59" s="91" t="s">
        <v>628</v>
      </c>
      <c r="B59" s="92" t="s">
        <v>629</v>
      </c>
      <c r="C59" s="93" t="s">
        <v>630</v>
      </c>
      <c r="D59" s="92" t="s">
        <v>631</v>
      </c>
      <c r="E59" s="94">
        <v>10.0</v>
      </c>
      <c r="F59" s="95">
        <v>91000.0</v>
      </c>
      <c r="G59" s="96">
        <v>5000.0</v>
      </c>
      <c r="H59" s="97">
        <v>96000.0</v>
      </c>
      <c r="I59" s="98">
        <f t="shared" si="2"/>
        <v>78720</v>
      </c>
      <c r="J59" s="99">
        <v>78720.0</v>
      </c>
      <c r="K59" s="100">
        <f t="shared" si="3"/>
        <v>64550.4</v>
      </c>
      <c r="L59" s="101">
        <f t="shared" si="15"/>
        <v>787200</v>
      </c>
      <c r="M59" s="102">
        <v>250.0</v>
      </c>
      <c r="N59" s="103">
        <f t="shared" si="16"/>
        <v>196800000</v>
      </c>
      <c r="O59" s="104">
        <f t="shared" si="17"/>
        <v>6</v>
      </c>
      <c r="P59" s="218"/>
      <c r="Q59" s="218"/>
      <c r="R59" s="218"/>
      <c r="S59" s="90"/>
      <c r="T59" s="90"/>
      <c r="U59" s="90"/>
      <c r="V59" s="108">
        <f t="shared" si="18"/>
        <v>95827.2</v>
      </c>
      <c r="W59" s="108">
        <f t="shared" si="19"/>
        <v>78578.304</v>
      </c>
      <c r="X59" s="90"/>
      <c r="Y59" s="90"/>
      <c r="Z59" s="90"/>
      <c r="AA59" s="90"/>
      <c r="AB59" s="90"/>
      <c r="AC59" s="90"/>
      <c r="AD59" s="90"/>
      <c r="AE59" s="90"/>
    </row>
    <row r="60" ht="15.0" customHeight="1">
      <c r="A60" s="91" t="s">
        <v>632</v>
      </c>
      <c r="B60" s="92" t="s">
        <v>633</v>
      </c>
      <c r="C60" s="92" t="s">
        <v>634</v>
      </c>
      <c r="D60" s="92" t="s">
        <v>635</v>
      </c>
      <c r="E60" s="94">
        <v>10.0</v>
      </c>
      <c r="F60" s="95">
        <v>92000.0</v>
      </c>
      <c r="G60" s="96">
        <v>5000.0</v>
      </c>
      <c r="H60" s="97">
        <v>97000.0</v>
      </c>
      <c r="I60" s="98">
        <f t="shared" si="2"/>
        <v>79540</v>
      </c>
      <c r="J60" s="99">
        <v>79540.0</v>
      </c>
      <c r="K60" s="100">
        <f t="shared" si="3"/>
        <v>65222.8</v>
      </c>
      <c r="L60" s="101">
        <f t="shared" si="15"/>
        <v>795400</v>
      </c>
      <c r="M60" s="102">
        <v>250.0</v>
      </c>
      <c r="N60" s="103">
        <f t="shared" si="16"/>
        <v>198850000</v>
      </c>
      <c r="O60" s="104">
        <f t="shared" si="17"/>
        <v>6</v>
      </c>
      <c r="P60" s="218"/>
      <c r="Q60" s="218"/>
      <c r="R60" s="218"/>
      <c r="S60" s="90"/>
      <c r="T60" s="90"/>
      <c r="U60" s="90"/>
      <c r="V60" s="108">
        <f t="shared" si="18"/>
        <v>96825.4</v>
      </c>
      <c r="W60" s="108">
        <f t="shared" si="19"/>
        <v>79396.828</v>
      </c>
      <c r="X60" s="90"/>
      <c r="Y60" s="90"/>
      <c r="Z60" s="90"/>
      <c r="AA60" s="90"/>
      <c r="AB60" s="90"/>
      <c r="AC60" s="90"/>
      <c r="AD60" s="90"/>
      <c r="AE60" s="90"/>
    </row>
    <row r="61" ht="15.0" customHeight="1">
      <c r="A61" s="91" t="s">
        <v>616</v>
      </c>
      <c r="B61" s="92" t="s">
        <v>636</v>
      </c>
      <c r="C61" s="93" t="s">
        <v>637</v>
      </c>
      <c r="D61" s="92" t="s">
        <v>638</v>
      </c>
      <c r="E61" s="94">
        <v>10.0</v>
      </c>
      <c r="F61" s="95">
        <v>98000.0</v>
      </c>
      <c r="G61" s="96">
        <v>5000.0</v>
      </c>
      <c r="H61" s="97">
        <v>103000.0</v>
      </c>
      <c r="I61" s="98">
        <f t="shared" si="2"/>
        <v>84460</v>
      </c>
      <c r="J61" s="99">
        <v>84460.0</v>
      </c>
      <c r="K61" s="100">
        <f t="shared" si="3"/>
        <v>69257.2</v>
      </c>
      <c r="L61" s="101">
        <f t="shared" si="15"/>
        <v>844600</v>
      </c>
      <c r="M61" s="102">
        <v>250.0</v>
      </c>
      <c r="N61" s="103">
        <f t="shared" si="16"/>
        <v>211150000</v>
      </c>
      <c r="O61" s="104">
        <f t="shared" si="17"/>
        <v>7</v>
      </c>
      <c r="P61" s="218"/>
      <c r="Q61" s="218"/>
      <c r="R61" s="218"/>
      <c r="S61" s="90"/>
      <c r="T61" s="90"/>
      <c r="U61" s="90"/>
      <c r="V61" s="108">
        <f t="shared" si="18"/>
        <v>102814.6</v>
      </c>
      <c r="W61" s="108">
        <f t="shared" si="19"/>
        <v>84307.972</v>
      </c>
      <c r="X61" s="90"/>
      <c r="Y61" s="90"/>
      <c r="Z61" s="90"/>
      <c r="AA61" s="90"/>
      <c r="AB61" s="90"/>
      <c r="AC61" s="90"/>
      <c r="AD61" s="90"/>
      <c r="AE61" s="90"/>
    </row>
    <row r="62" ht="15.0" customHeight="1">
      <c r="A62" s="91" t="s">
        <v>639</v>
      </c>
      <c r="B62" s="92" t="s">
        <v>640</v>
      </c>
      <c r="C62" s="93" t="s">
        <v>641</v>
      </c>
      <c r="D62" s="92" t="s">
        <v>642</v>
      </c>
      <c r="E62" s="94">
        <v>10.0</v>
      </c>
      <c r="F62" s="95">
        <v>115000.0</v>
      </c>
      <c r="G62" s="96">
        <v>5000.0</v>
      </c>
      <c r="H62" s="97">
        <v>120000.0</v>
      </c>
      <c r="I62" s="98">
        <f t="shared" si="2"/>
        <v>98400</v>
      </c>
      <c r="J62" s="99">
        <v>98400.0</v>
      </c>
      <c r="K62" s="100">
        <f t="shared" si="3"/>
        <v>80688</v>
      </c>
      <c r="L62" s="101">
        <f t="shared" si="15"/>
        <v>984000</v>
      </c>
      <c r="M62" s="102">
        <v>250.0</v>
      </c>
      <c r="N62" s="103">
        <f t="shared" si="16"/>
        <v>246000000</v>
      </c>
      <c r="O62" s="104">
        <f t="shared" si="17"/>
        <v>8</v>
      </c>
      <c r="P62" s="218"/>
      <c r="Q62" s="218"/>
      <c r="R62" s="218"/>
      <c r="S62" s="90"/>
      <c r="T62" s="90"/>
      <c r="U62" s="90"/>
      <c r="V62" s="108">
        <f t="shared" si="18"/>
        <v>119784</v>
      </c>
      <c r="W62" s="108">
        <f t="shared" si="19"/>
        <v>98222.88</v>
      </c>
      <c r="X62" s="90"/>
      <c r="Y62" s="90"/>
      <c r="Z62" s="90"/>
      <c r="AA62" s="90"/>
      <c r="AB62" s="90"/>
      <c r="AC62" s="90"/>
      <c r="AD62" s="90"/>
      <c r="AE62" s="90"/>
    </row>
    <row r="63" ht="15.0" customHeight="1">
      <c r="A63" s="91" t="s">
        <v>643</v>
      </c>
      <c r="B63" s="92" t="s">
        <v>644</v>
      </c>
      <c r="C63" s="93" t="s">
        <v>645</v>
      </c>
      <c r="D63" s="219" t="s">
        <v>161</v>
      </c>
      <c r="E63" s="94">
        <v>10.0</v>
      </c>
      <c r="F63" s="95">
        <v>115000.0</v>
      </c>
      <c r="G63" s="96">
        <v>5000.0</v>
      </c>
      <c r="H63" s="97">
        <v>120000.0</v>
      </c>
      <c r="I63" s="98">
        <f t="shared" si="2"/>
        <v>98400</v>
      </c>
      <c r="J63" s="99">
        <v>98400.0</v>
      </c>
      <c r="K63" s="100">
        <f t="shared" si="3"/>
        <v>80688</v>
      </c>
      <c r="L63" s="101">
        <f t="shared" si="15"/>
        <v>984000</v>
      </c>
      <c r="M63" s="102">
        <v>250.0</v>
      </c>
      <c r="N63" s="103">
        <f t="shared" si="16"/>
        <v>246000000</v>
      </c>
      <c r="O63" s="104">
        <f t="shared" si="17"/>
        <v>8</v>
      </c>
      <c r="P63" s="218"/>
      <c r="Q63" s="218"/>
      <c r="R63" s="218"/>
      <c r="S63" s="90"/>
      <c r="T63" s="90"/>
      <c r="U63" s="90"/>
      <c r="V63" s="108">
        <f t="shared" si="18"/>
        <v>119784</v>
      </c>
      <c r="W63" s="108">
        <f t="shared" si="19"/>
        <v>98222.88</v>
      </c>
      <c r="X63" s="90"/>
      <c r="Y63" s="90"/>
      <c r="Z63" s="90"/>
      <c r="AA63" s="90"/>
      <c r="AB63" s="90"/>
      <c r="AC63" s="90"/>
      <c r="AD63" s="90"/>
      <c r="AE63" s="90"/>
    </row>
    <row r="64" ht="15.0" customHeight="1">
      <c r="A64" s="221" t="s">
        <v>646</v>
      </c>
      <c r="B64" s="16"/>
      <c r="C64" s="16"/>
      <c r="D64" s="16"/>
      <c r="E64" s="16"/>
      <c r="F64" s="16"/>
      <c r="G64" s="16"/>
      <c r="H64" s="17"/>
      <c r="I64" s="98">
        <f t="shared" si="2"/>
        <v>0</v>
      </c>
      <c r="J64" s="99">
        <v>0.0</v>
      </c>
      <c r="K64" s="100">
        <f t="shared" si="3"/>
        <v>0</v>
      </c>
      <c r="L64" s="101">
        <f t="shared" si="15"/>
        <v>0</v>
      </c>
      <c r="M64" s="102"/>
      <c r="N64" s="86"/>
      <c r="O64" s="104"/>
      <c r="P64" s="182"/>
      <c r="Q64" s="182"/>
      <c r="R64" s="182"/>
      <c r="S64" s="89"/>
      <c r="T64" s="89"/>
      <c r="U64" s="89"/>
      <c r="V64" s="90"/>
      <c r="W64" s="90"/>
      <c r="X64" s="89"/>
      <c r="Y64" s="89"/>
      <c r="Z64" s="89"/>
      <c r="AA64" s="89"/>
      <c r="AB64" s="89"/>
      <c r="AC64" s="89"/>
      <c r="AD64" s="89"/>
      <c r="AE64" s="89"/>
    </row>
    <row r="65" ht="15.0" customHeight="1">
      <c r="A65" s="121" t="s">
        <v>647</v>
      </c>
      <c r="B65" s="122" t="s">
        <v>648</v>
      </c>
      <c r="C65" s="222" t="s">
        <v>649</v>
      </c>
      <c r="D65" s="122" t="s">
        <v>650</v>
      </c>
      <c r="E65" s="123">
        <v>10.0</v>
      </c>
      <c r="F65" s="124">
        <v>77000.0</v>
      </c>
      <c r="G65" s="125">
        <v>5000.0</v>
      </c>
      <c r="H65" s="126">
        <v>82000.0</v>
      </c>
      <c r="I65" s="98">
        <f t="shared" si="2"/>
        <v>67240</v>
      </c>
      <c r="J65" s="99">
        <v>67240.0</v>
      </c>
      <c r="K65" s="100">
        <f t="shared" si="3"/>
        <v>55136.8</v>
      </c>
      <c r="L65" s="101">
        <f t="shared" si="15"/>
        <v>672400</v>
      </c>
      <c r="M65" s="102">
        <v>250.0</v>
      </c>
      <c r="N65" s="127">
        <f t="shared" ref="N65:N66" si="20">L65*M65</f>
        <v>168100000</v>
      </c>
      <c r="O65" s="104">
        <f t="shared" ref="O65:O66" si="21">ROUNDUP(H65/$O$2,0)</f>
        <v>5</v>
      </c>
      <c r="P65" s="223"/>
      <c r="Q65" s="223"/>
      <c r="R65" s="223"/>
      <c r="S65" s="131"/>
      <c r="T65" s="131"/>
      <c r="U65" s="131"/>
      <c r="V65" s="108">
        <f t="shared" ref="V65:V66" si="22">H65-(H65*$W$2%)</f>
        <v>81852.4</v>
      </c>
      <c r="W65" s="108">
        <f t="shared" ref="W65:W66" si="23">J65-(J65*$W$2%)</f>
        <v>67118.968</v>
      </c>
      <c r="X65" s="131"/>
      <c r="Y65" s="131"/>
      <c r="Z65" s="131"/>
      <c r="AA65" s="131"/>
      <c r="AB65" s="131"/>
      <c r="AC65" s="131"/>
      <c r="AD65" s="131"/>
      <c r="AE65" s="131"/>
    </row>
    <row r="66" ht="15.0" customHeight="1">
      <c r="A66" s="121" t="s">
        <v>651</v>
      </c>
      <c r="B66" s="122" t="s">
        <v>652</v>
      </c>
      <c r="C66" s="222" t="s">
        <v>653</v>
      </c>
      <c r="D66" s="122" t="s">
        <v>654</v>
      </c>
      <c r="E66" s="123">
        <v>10.0</v>
      </c>
      <c r="F66" s="124">
        <v>66000.0</v>
      </c>
      <c r="G66" s="224"/>
      <c r="H66" s="126">
        <v>66000.0</v>
      </c>
      <c r="I66" s="98">
        <f t="shared" si="2"/>
        <v>54120</v>
      </c>
      <c r="J66" s="99">
        <v>54120.0</v>
      </c>
      <c r="K66" s="100">
        <f t="shared" si="3"/>
        <v>44378.4</v>
      </c>
      <c r="L66" s="101">
        <f t="shared" si="15"/>
        <v>541200</v>
      </c>
      <c r="M66" s="102">
        <v>250.0</v>
      </c>
      <c r="N66" s="127">
        <f t="shared" si="20"/>
        <v>135300000</v>
      </c>
      <c r="O66" s="104">
        <f t="shared" si="21"/>
        <v>4</v>
      </c>
      <c r="P66" s="223"/>
      <c r="Q66" s="223"/>
      <c r="R66" s="223"/>
      <c r="S66" s="131"/>
      <c r="T66" s="131"/>
      <c r="U66" s="131"/>
      <c r="V66" s="108">
        <f t="shared" si="22"/>
        <v>65881.2</v>
      </c>
      <c r="W66" s="108">
        <f t="shared" si="23"/>
        <v>54022.584</v>
      </c>
      <c r="X66" s="131"/>
      <c r="Y66" s="131"/>
      <c r="Z66" s="131"/>
      <c r="AA66" s="131"/>
      <c r="AB66" s="131"/>
      <c r="AC66" s="131"/>
      <c r="AD66" s="131"/>
      <c r="AE66" s="131"/>
    </row>
    <row r="67" ht="15.0" customHeight="1">
      <c r="A67" s="80" t="s">
        <v>655</v>
      </c>
      <c r="B67" s="16"/>
      <c r="C67" s="16"/>
      <c r="D67" s="16"/>
      <c r="E67" s="16"/>
      <c r="F67" s="16"/>
      <c r="G67" s="16"/>
      <c r="H67" s="17"/>
      <c r="I67" s="98">
        <f t="shared" si="2"/>
        <v>0</v>
      </c>
      <c r="J67" s="99">
        <v>0.0</v>
      </c>
      <c r="K67" s="100">
        <f t="shared" si="3"/>
        <v>0</v>
      </c>
      <c r="L67" s="101"/>
      <c r="M67" s="85"/>
      <c r="N67" s="86"/>
      <c r="O67" s="104"/>
      <c r="P67" s="182"/>
      <c r="Q67" s="182"/>
      <c r="R67" s="182"/>
      <c r="S67" s="89"/>
      <c r="T67" s="89"/>
      <c r="U67" s="89"/>
      <c r="V67" s="90"/>
      <c r="W67" s="90"/>
      <c r="X67" s="89"/>
      <c r="Y67" s="89"/>
      <c r="Z67" s="89"/>
      <c r="AA67" s="89"/>
      <c r="AB67" s="89"/>
      <c r="AC67" s="89"/>
      <c r="AD67" s="89"/>
      <c r="AE67" s="89"/>
    </row>
    <row r="68" ht="15.0" customHeight="1">
      <c r="A68" s="225" t="s">
        <v>656</v>
      </c>
      <c r="B68" s="226" t="s">
        <v>657</v>
      </c>
      <c r="C68" s="227" t="s">
        <v>658</v>
      </c>
      <c r="D68" s="226" t="s">
        <v>659</v>
      </c>
      <c r="E68" s="228">
        <v>24.0</v>
      </c>
      <c r="F68" s="229">
        <v>210000.0</v>
      </c>
      <c r="G68" s="230">
        <v>5000.0</v>
      </c>
      <c r="H68" s="231">
        <v>215000.0</v>
      </c>
      <c r="I68" s="98">
        <f t="shared" si="2"/>
        <v>176300</v>
      </c>
      <c r="J68" s="99">
        <v>176300.0</v>
      </c>
      <c r="K68" s="100">
        <f t="shared" si="3"/>
        <v>144566</v>
      </c>
      <c r="L68" s="101">
        <f t="shared" ref="L68:L74" si="24">J68*E68</f>
        <v>4231200</v>
      </c>
      <c r="M68" s="102">
        <v>250.0</v>
      </c>
      <c r="N68" s="204">
        <f t="shared" ref="N68:N74" si="25">L68*M68</f>
        <v>1057800000</v>
      </c>
      <c r="O68" s="104">
        <f t="shared" ref="O68:O74" si="26">ROUNDUP(H68/$O$2,0)</f>
        <v>13</v>
      </c>
      <c r="P68" s="205" t="s">
        <v>660</v>
      </c>
      <c r="Q68" s="205" t="s">
        <v>661</v>
      </c>
      <c r="R68" s="205">
        <v>0.264</v>
      </c>
      <c r="S68" s="206" t="s">
        <v>662</v>
      </c>
      <c r="T68" s="206" t="s">
        <v>663</v>
      </c>
      <c r="U68" s="207" t="s">
        <v>664</v>
      </c>
      <c r="V68" s="108">
        <f t="shared" ref="V68:V74" si="27">H68-(H68*$W$2%)</f>
        <v>214613</v>
      </c>
      <c r="W68" s="108">
        <f t="shared" ref="W68:W74" si="28">J68-(J68*$W$2%)</f>
        <v>175982.66</v>
      </c>
      <c r="X68" s="208"/>
      <c r="Y68" s="208"/>
      <c r="Z68" s="208"/>
      <c r="AA68" s="208"/>
      <c r="AB68" s="208"/>
      <c r="AC68" s="208"/>
      <c r="AD68" s="208"/>
      <c r="AE68" s="208"/>
    </row>
    <row r="69" ht="15.0" customHeight="1">
      <c r="A69" s="225" t="s">
        <v>665</v>
      </c>
      <c r="B69" s="226" t="s">
        <v>666</v>
      </c>
      <c r="C69" s="227" t="s">
        <v>667</v>
      </c>
      <c r="D69" s="226" t="s">
        <v>668</v>
      </c>
      <c r="E69" s="228">
        <v>24.0</v>
      </c>
      <c r="F69" s="229">
        <v>200000.0</v>
      </c>
      <c r="G69" s="230">
        <v>5000.0</v>
      </c>
      <c r="H69" s="231">
        <v>205000.0</v>
      </c>
      <c r="I69" s="98">
        <f t="shared" si="2"/>
        <v>168100</v>
      </c>
      <c r="J69" s="99">
        <v>168100.0</v>
      </c>
      <c r="K69" s="100">
        <f t="shared" si="3"/>
        <v>137842</v>
      </c>
      <c r="L69" s="101">
        <f t="shared" si="24"/>
        <v>4034400</v>
      </c>
      <c r="M69" s="102">
        <v>250.0</v>
      </c>
      <c r="N69" s="204">
        <f t="shared" si="25"/>
        <v>1008600000</v>
      </c>
      <c r="O69" s="104">
        <f t="shared" si="26"/>
        <v>13</v>
      </c>
      <c r="P69" s="232"/>
      <c r="Q69" s="232"/>
      <c r="R69" s="232"/>
      <c r="S69" s="208"/>
      <c r="T69" s="208"/>
      <c r="U69" s="208"/>
      <c r="V69" s="108">
        <f t="shared" si="27"/>
        <v>204631</v>
      </c>
      <c r="W69" s="108">
        <f t="shared" si="28"/>
        <v>167797.42</v>
      </c>
      <c r="X69" s="208"/>
      <c r="Y69" s="208"/>
      <c r="Z69" s="208"/>
      <c r="AA69" s="208"/>
      <c r="AB69" s="208"/>
      <c r="AC69" s="208"/>
      <c r="AD69" s="208"/>
      <c r="AE69" s="208"/>
    </row>
    <row r="70" ht="15.0" customHeight="1">
      <c r="A70" s="225" t="s">
        <v>669</v>
      </c>
      <c r="B70" s="226" t="s">
        <v>670</v>
      </c>
      <c r="C70" s="227" t="s">
        <v>671</v>
      </c>
      <c r="D70" s="226" t="s">
        <v>672</v>
      </c>
      <c r="E70" s="228">
        <v>24.0</v>
      </c>
      <c r="F70" s="229">
        <v>340000.0</v>
      </c>
      <c r="G70" s="230">
        <v>10000.0</v>
      </c>
      <c r="H70" s="231">
        <v>350000.0</v>
      </c>
      <c r="I70" s="98">
        <f t="shared" si="2"/>
        <v>287000</v>
      </c>
      <c r="J70" s="99">
        <v>287000.0</v>
      </c>
      <c r="K70" s="100">
        <f t="shared" si="3"/>
        <v>235340</v>
      </c>
      <c r="L70" s="101">
        <f t="shared" si="24"/>
        <v>6888000</v>
      </c>
      <c r="M70" s="102">
        <v>250.0</v>
      </c>
      <c r="N70" s="204">
        <f t="shared" si="25"/>
        <v>1722000000</v>
      </c>
      <c r="O70" s="104">
        <f t="shared" si="26"/>
        <v>21</v>
      </c>
      <c r="P70" s="205" t="s">
        <v>660</v>
      </c>
      <c r="Q70" s="205" t="s">
        <v>661</v>
      </c>
      <c r="R70" s="205">
        <v>0.264</v>
      </c>
      <c r="S70" s="206" t="s">
        <v>662</v>
      </c>
      <c r="T70" s="206" t="s">
        <v>663</v>
      </c>
      <c r="U70" s="207" t="s">
        <v>673</v>
      </c>
      <c r="V70" s="108">
        <f t="shared" si="27"/>
        <v>349370</v>
      </c>
      <c r="W70" s="108">
        <f t="shared" si="28"/>
        <v>286483.4</v>
      </c>
      <c r="X70" s="208"/>
      <c r="Y70" s="208"/>
      <c r="Z70" s="208"/>
      <c r="AA70" s="208"/>
      <c r="AB70" s="208"/>
      <c r="AC70" s="208"/>
      <c r="AD70" s="208"/>
      <c r="AE70" s="208"/>
    </row>
    <row r="71" ht="15.0" customHeight="1">
      <c r="A71" s="225" t="s">
        <v>674</v>
      </c>
      <c r="B71" s="226" t="s">
        <v>675</v>
      </c>
      <c r="C71" s="227" t="s">
        <v>676</v>
      </c>
      <c r="D71" s="226" t="s">
        <v>677</v>
      </c>
      <c r="E71" s="228">
        <v>24.0</v>
      </c>
      <c r="F71" s="229">
        <v>310000.0</v>
      </c>
      <c r="G71" s="230">
        <v>10000.0</v>
      </c>
      <c r="H71" s="231">
        <v>320000.0</v>
      </c>
      <c r="I71" s="98">
        <f t="shared" si="2"/>
        <v>262400</v>
      </c>
      <c r="J71" s="99">
        <v>262400.0</v>
      </c>
      <c r="K71" s="100">
        <f t="shared" si="3"/>
        <v>215168</v>
      </c>
      <c r="L71" s="101">
        <f t="shared" si="24"/>
        <v>6297600</v>
      </c>
      <c r="M71" s="102">
        <v>250.0</v>
      </c>
      <c r="N71" s="204">
        <f t="shared" si="25"/>
        <v>1574400000</v>
      </c>
      <c r="O71" s="104">
        <f t="shared" si="26"/>
        <v>19</v>
      </c>
      <c r="P71" s="232"/>
      <c r="Q71" s="232"/>
      <c r="R71" s="232"/>
      <c r="S71" s="208"/>
      <c r="T71" s="208"/>
      <c r="U71" s="208"/>
      <c r="V71" s="108">
        <f t="shared" si="27"/>
        <v>319424</v>
      </c>
      <c r="W71" s="108">
        <f t="shared" si="28"/>
        <v>261927.68</v>
      </c>
      <c r="X71" s="208"/>
      <c r="Y71" s="208"/>
      <c r="Z71" s="208"/>
      <c r="AA71" s="208"/>
      <c r="AB71" s="208"/>
      <c r="AC71" s="208"/>
      <c r="AD71" s="208"/>
      <c r="AE71" s="208"/>
    </row>
    <row r="72" ht="15.0" customHeight="1">
      <c r="A72" s="225" t="s">
        <v>678</v>
      </c>
      <c r="B72" s="226" t="s">
        <v>679</v>
      </c>
      <c r="C72" s="227" t="s">
        <v>680</v>
      </c>
      <c r="D72" s="226" t="s">
        <v>681</v>
      </c>
      <c r="E72" s="228">
        <v>24.0</v>
      </c>
      <c r="F72" s="229">
        <v>350000.0</v>
      </c>
      <c r="G72" s="230">
        <v>10000.0</v>
      </c>
      <c r="H72" s="231">
        <v>360000.0</v>
      </c>
      <c r="I72" s="98">
        <f t="shared" si="2"/>
        <v>295200</v>
      </c>
      <c r="J72" s="99">
        <v>295200.0</v>
      </c>
      <c r="K72" s="100">
        <f t="shared" si="3"/>
        <v>242064</v>
      </c>
      <c r="L72" s="101">
        <f t="shared" si="24"/>
        <v>7084800</v>
      </c>
      <c r="M72" s="102">
        <v>250.0</v>
      </c>
      <c r="N72" s="204">
        <f t="shared" si="25"/>
        <v>1771200000</v>
      </c>
      <c r="O72" s="104">
        <f t="shared" si="26"/>
        <v>22</v>
      </c>
      <c r="P72" s="205" t="s">
        <v>660</v>
      </c>
      <c r="Q72" s="205" t="s">
        <v>661</v>
      </c>
      <c r="R72" s="205">
        <v>0.264</v>
      </c>
      <c r="S72" s="206" t="s">
        <v>662</v>
      </c>
      <c r="T72" s="206" t="s">
        <v>663</v>
      </c>
      <c r="U72" s="207" t="s">
        <v>682</v>
      </c>
      <c r="V72" s="108">
        <f t="shared" si="27"/>
        <v>359352</v>
      </c>
      <c r="W72" s="108">
        <f t="shared" si="28"/>
        <v>294668.64</v>
      </c>
      <c r="X72" s="208"/>
      <c r="Y72" s="208"/>
      <c r="Z72" s="208"/>
      <c r="AA72" s="208"/>
      <c r="AB72" s="208"/>
      <c r="AC72" s="208"/>
      <c r="AD72" s="208"/>
      <c r="AE72" s="208"/>
    </row>
    <row r="73" ht="15.0" customHeight="1">
      <c r="A73" s="225" t="s">
        <v>683</v>
      </c>
      <c r="B73" s="226" t="s">
        <v>684</v>
      </c>
      <c r="C73" s="227" t="s">
        <v>685</v>
      </c>
      <c r="D73" s="226" t="s">
        <v>686</v>
      </c>
      <c r="E73" s="228">
        <v>24.0</v>
      </c>
      <c r="F73" s="229">
        <v>380000.0</v>
      </c>
      <c r="G73" s="230">
        <v>10000.0</v>
      </c>
      <c r="H73" s="231">
        <v>390000.0</v>
      </c>
      <c r="I73" s="98">
        <f t="shared" si="2"/>
        <v>319800</v>
      </c>
      <c r="J73" s="99">
        <v>319800.0</v>
      </c>
      <c r="K73" s="100">
        <f t="shared" si="3"/>
        <v>262236</v>
      </c>
      <c r="L73" s="101">
        <f t="shared" si="24"/>
        <v>7675200</v>
      </c>
      <c r="M73" s="102">
        <v>250.0</v>
      </c>
      <c r="N73" s="204">
        <f t="shared" si="25"/>
        <v>1918800000</v>
      </c>
      <c r="O73" s="104">
        <f t="shared" si="26"/>
        <v>23</v>
      </c>
      <c r="P73" s="205" t="s">
        <v>660</v>
      </c>
      <c r="Q73" s="205" t="s">
        <v>661</v>
      </c>
      <c r="R73" s="205">
        <v>0.264</v>
      </c>
      <c r="S73" s="206" t="s">
        <v>662</v>
      </c>
      <c r="T73" s="206" t="s">
        <v>663</v>
      </c>
      <c r="U73" s="207" t="s">
        <v>687</v>
      </c>
      <c r="V73" s="108">
        <f t="shared" si="27"/>
        <v>389298</v>
      </c>
      <c r="W73" s="108">
        <f t="shared" si="28"/>
        <v>319224.36</v>
      </c>
      <c r="X73" s="208"/>
      <c r="Y73" s="208"/>
      <c r="Z73" s="208"/>
      <c r="AA73" s="208"/>
      <c r="AB73" s="208"/>
      <c r="AC73" s="208"/>
      <c r="AD73" s="208"/>
      <c r="AE73" s="208"/>
    </row>
    <row r="74" ht="15.0" customHeight="1">
      <c r="A74" s="225" t="s">
        <v>688</v>
      </c>
      <c r="B74" s="226" t="s">
        <v>689</v>
      </c>
      <c r="C74" s="227" t="s">
        <v>690</v>
      </c>
      <c r="D74" s="226" t="s">
        <v>691</v>
      </c>
      <c r="E74" s="228">
        <v>24.0</v>
      </c>
      <c r="F74" s="229">
        <v>300000.0</v>
      </c>
      <c r="G74" s="230">
        <v>10000.0</v>
      </c>
      <c r="H74" s="231">
        <v>310000.0</v>
      </c>
      <c r="I74" s="98">
        <f t="shared" si="2"/>
        <v>254200</v>
      </c>
      <c r="J74" s="99">
        <v>254200.0</v>
      </c>
      <c r="K74" s="100">
        <f t="shared" si="3"/>
        <v>208444</v>
      </c>
      <c r="L74" s="101">
        <f t="shared" si="24"/>
        <v>6100800</v>
      </c>
      <c r="M74" s="102">
        <v>250.0</v>
      </c>
      <c r="N74" s="204">
        <f t="shared" si="25"/>
        <v>1525200000</v>
      </c>
      <c r="O74" s="104">
        <f t="shared" si="26"/>
        <v>19</v>
      </c>
      <c r="P74" s="205" t="s">
        <v>660</v>
      </c>
      <c r="Q74" s="205" t="s">
        <v>661</v>
      </c>
      <c r="R74" s="205">
        <v>0.264</v>
      </c>
      <c r="S74" s="206" t="s">
        <v>662</v>
      </c>
      <c r="T74" s="206" t="s">
        <v>663</v>
      </c>
      <c r="U74" s="207" t="s">
        <v>692</v>
      </c>
      <c r="V74" s="108">
        <f t="shared" si="27"/>
        <v>309442</v>
      </c>
      <c r="W74" s="108">
        <f t="shared" si="28"/>
        <v>253742.44</v>
      </c>
      <c r="X74" s="208"/>
      <c r="Y74" s="208"/>
      <c r="Z74" s="208"/>
      <c r="AA74" s="208"/>
      <c r="AB74" s="208"/>
      <c r="AC74" s="208"/>
      <c r="AD74" s="208"/>
      <c r="AE74" s="208"/>
    </row>
    <row r="75" ht="15.0" customHeight="1">
      <c r="A75" s="80" t="s">
        <v>693</v>
      </c>
      <c r="B75" s="16"/>
      <c r="C75" s="16"/>
      <c r="D75" s="16"/>
      <c r="E75" s="16"/>
      <c r="F75" s="16"/>
      <c r="G75" s="16"/>
      <c r="H75" s="17"/>
      <c r="I75" s="98">
        <f t="shared" si="2"/>
        <v>0</v>
      </c>
      <c r="J75" s="99">
        <v>0.0</v>
      </c>
      <c r="K75" s="100">
        <f t="shared" si="3"/>
        <v>0</v>
      </c>
      <c r="L75" s="101"/>
      <c r="M75" s="85"/>
      <c r="N75" s="86"/>
      <c r="O75" s="104"/>
      <c r="P75" s="182"/>
      <c r="Q75" s="182"/>
      <c r="R75" s="182"/>
      <c r="S75" s="89"/>
      <c r="T75" s="89"/>
      <c r="U75" s="89"/>
      <c r="V75" s="90"/>
      <c r="W75" s="90"/>
      <c r="X75" s="233"/>
      <c r="Y75" s="233"/>
      <c r="Z75" s="233"/>
      <c r="AA75" s="233"/>
      <c r="AB75" s="233"/>
      <c r="AC75" s="233"/>
      <c r="AD75" s="233"/>
      <c r="AE75" s="233"/>
    </row>
    <row r="76" ht="15.0" customHeight="1">
      <c r="A76" s="234" t="s">
        <v>694</v>
      </c>
      <c r="B76" s="235" t="s">
        <v>695</v>
      </c>
      <c r="C76" s="236" t="s">
        <v>696</v>
      </c>
      <c r="D76" s="235" t="s">
        <v>697</v>
      </c>
      <c r="E76" s="237">
        <v>24.0</v>
      </c>
      <c r="F76" s="238">
        <v>210000.0</v>
      </c>
      <c r="G76" s="239">
        <v>5000.0</v>
      </c>
      <c r="H76" s="240">
        <v>215000.0</v>
      </c>
      <c r="I76" s="98">
        <f t="shared" si="2"/>
        <v>176300</v>
      </c>
      <c r="J76" s="99">
        <v>176300.0</v>
      </c>
      <c r="K76" s="100">
        <f t="shared" si="3"/>
        <v>144566</v>
      </c>
      <c r="L76" s="101">
        <f t="shared" ref="L76:L85" si="29">J76*E76</f>
        <v>4231200</v>
      </c>
      <c r="M76" s="102">
        <v>250.0</v>
      </c>
      <c r="N76" s="241">
        <f t="shared" ref="N76:N85" si="30">L76*M76</f>
        <v>1057800000</v>
      </c>
      <c r="O76" s="104">
        <f t="shared" ref="O76:O85" si="31">ROUNDUP(H76/$O$2,0)</f>
        <v>13</v>
      </c>
      <c r="P76" s="242"/>
      <c r="Q76" s="242"/>
      <c r="R76" s="242"/>
      <c r="S76" s="243"/>
      <c r="T76" s="243"/>
      <c r="U76" s="243"/>
      <c r="V76" s="108">
        <f t="shared" ref="V76:V85" si="32">H76-(H76*$W$2%)</f>
        <v>214613</v>
      </c>
      <c r="W76" s="108">
        <f t="shared" ref="W76:W85" si="33">J76-(J76*$W$2%)</f>
        <v>175982.66</v>
      </c>
      <c r="X76" s="244"/>
      <c r="Y76" s="244"/>
      <c r="Z76" s="244"/>
      <c r="AA76" s="244"/>
      <c r="AB76" s="244"/>
      <c r="AC76" s="244"/>
      <c r="AD76" s="244"/>
      <c r="AE76" s="244"/>
    </row>
    <row r="77" ht="15.0" customHeight="1">
      <c r="A77" s="234" t="s">
        <v>698</v>
      </c>
      <c r="B77" s="235" t="s">
        <v>699</v>
      </c>
      <c r="C77" s="236" t="s">
        <v>700</v>
      </c>
      <c r="D77" s="235" t="s">
        <v>701</v>
      </c>
      <c r="E77" s="237">
        <v>24.0</v>
      </c>
      <c r="F77" s="238">
        <v>210000.0</v>
      </c>
      <c r="G77" s="239">
        <v>5000.0</v>
      </c>
      <c r="H77" s="240">
        <v>215000.0</v>
      </c>
      <c r="I77" s="98">
        <f t="shared" si="2"/>
        <v>176300</v>
      </c>
      <c r="J77" s="99">
        <v>176300.0</v>
      </c>
      <c r="K77" s="100">
        <f t="shared" si="3"/>
        <v>144566</v>
      </c>
      <c r="L77" s="101">
        <f t="shared" si="29"/>
        <v>4231200</v>
      </c>
      <c r="M77" s="102">
        <v>250.0</v>
      </c>
      <c r="N77" s="241">
        <f t="shared" si="30"/>
        <v>1057800000</v>
      </c>
      <c r="O77" s="104">
        <f t="shared" si="31"/>
        <v>13</v>
      </c>
      <c r="P77" s="242"/>
      <c r="Q77" s="242"/>
      <c r="R77" s="242"/>
      <c r="S77" s="243"/>
      <c r="T77" s="243"/>
      <c r="U77" s="243"/>
      <c r="V77" s="108">
        <f t="shared" si="32"/>
        <v>214613</v>
      </c>
      <c r="W77" s="108">
        <f t="shared" si="33"/>
        <v>175982.66</v>
      </c>
      <c r="X77" s="244"/>
      <c r="Y77" s="244"/>
      <c r="Z77" s="244"/>
      <c r="AA77" s="244"/>
      <c r="AB77" s="244"/>
      <c r="AC77" s="244"/>
      <c r="AD77" s="244"/>
      <c r="AE77" s="244"/>
    </row>
    <row r="78" ht="15.0" customHeight="1">
      <c r="A78" s="234" t="s">
        <v>702</v>
      </c>
      <c r="B78" s="235" t="s">
        <v>703</v>
      </c>
      <c r="C78" s="236" t="s">
        <v>704</v>
      </c>
      <c r="D78" s="235" t="s">
        <v>705</v>
      </c>
      <c r="E78" s="237">
        <v>24.0</v>
      </c>
      <c r="F78" s="238">
        <v>230000.0</v>
      </c>
      <c r="G78" s="239">
        <v>5000.0</v>
      </c>
      <c r="H78" s="240">
        <v>235000.0</v>
      </c>
      <c r="I78" s="98">
        <f t="shared" si="2"/>
        <v>192700</v>
      </c>
      <c r="J78" s="99">
        <v>192700.0</v>
      </c>
      <c r="K78" s="100">
        <f t="shared" si="3"/>
        <v>158014</v>
      </c>
      <c r="L78" s="101">
        <f t="shared" si="29"/>
        <v>4624800</v>
      </c>
      <c r="M78" s="102">
        <v>250.0</v>
      </c>
      <c r="N78" s="241">
        <f t="shared" si="30"/>
        <v>1156200000</v>
      </c>
      <c r="O78" s="104">
        <f t="shared" si="31"/>
        <v>14</v>
      </c>
      <c r="P78" s="242"/>
      <c r="Q78" s="242"/>
      <c r="R78" s="242"/>
      <c r="S78" s="243"/>
      <c r="T78" s="243"/>
      <c r="U78" s="243"/>
      <c r="V78" s="108">
        <f t="shared" si="32"/>
        <v>234577</v>
      </c>
      <c r="W78" s="108">
        <f t="shared" si="33"/>
        <v>192353.14</v>
      </c>
      <c r="X78" s="244"/>
      <c r="Y78" s="244"/>
      <c r="Z78" s="244"/>
      <c r="AA78" s="244"/>
      <c r="AB78" s="244"/>
      <c r="AC78" s="244"/>
      <c r="AD78" s="244"/>
      <c r="AE78" s="244"/>
    </row>
    <row r="79" ht="15.0" customHeight="1">
      <c r="A79" s="234" t="s">
        <v>706</v>
      </c>
      <c r="B79" s="235" t="s">
        <v>707</v>
      </c>
      <c r="C79" s="236" t="s">
        <v>708</v>
      </c>
      <c r="D79" s="235" t="s">
        <v>709</v>
      </c>
      <c r="E79" s="237">
        <v>24.0</v>
      </c>
      <c r="F79" s="238">
        <v>260000.0</v>
      </c>
      <c r="G79" s="239">
        <v>5000.0</v>
      </c>
      <c r="H79" s="240">
        <v>265000.0</v>
      </c>
      <c r="I79" s="98">
        <f t="shared" si="2"/>
        <v>217300</v>
      </c>
      <c r="J79" s="99">
        <v>217300.0</v>
      </c>
      <c r="K79" s="100">
        <f t="shared" si="3"/>
        <v>178186</v>
      </c>
      <c r="L79" s="101">
        <f t="shared" si="29"/>
        <v>5215200</v>
      </c>
      <c r="M79" s="102">
        <v>250.0</v>
      </c>
      <c r="N79" s="241">
        <f t="shared" si="30"/>
        <v>1303800000</v>
      </c>
      <c r="O79" s="104">
        <f t="shared" si="31"/>
        <v>16</v>
      </c>
      <c r="P79" s="242"/>
      <c r="Q79" s="242"/>
      <c r="R79" s="242"/>
      <c r="S79" s="243"/>
      <c r="T79" s="243"/>
      <c r="U79" s="243"/>
      <c r="V79" s="108">
        <f t="shared" si="32"/>
        <v>264523</v>
      </c>
      <c r="W79" s="108">
        <f t="shared" si="33"/>
        <v>216908.86</v>
      </c>
      <c r="X79" s="244"/>
      <c r="Y79" s="244"/>
      <c r="Z79" s="244"/>
      <c r="AA79" s="244"/>
      <c r="AB79" s="244"/>
      <c r="AC79" s="244"/>
      <c r="AD79" s="244"/>
      <c r="AE79" s="244"/>
    </row>
    <row r="80" ht="15.0" customHeight="1">
      <c r="A80" s="234" t="s">
        <v>710</v>
      </c>
      <c r="B80" s="235" t="s">
        <v>711</v>
      </c>
      <c r="C80" s="236" t="s">
        <v>712</v>
      </c>
      <c r="D80" s="235" t="s">
        <v>713</v>
      </c>
      <c r="E80" s="237">
        <v>24.0</v>
      </c>
      <c r="F80" s="238">
        <v>260000.0</v>
      </c>
      <c r="G80" s="239">
        <v>5000.0</v>
      </c>
      <c r="H80" s="240">
        <v>265000.0</v>
      </c>
      <c r="I80" s="98">
        <f t="shared" si="2"/>
        <v>217300</v>
      </c>
      <c r="J80" s="99">
        <v>217300.0</v>
      </c>
      <c r="K80" s="100">
        <f t="shared" si="3"/>
        <v>178186</v>
      </c>
      <c r="L80" s="101">
        <f t="shared" si="29"/>
        <v>5215200</v>
      </c>
      <c r="M80" s="102">
        <v>250.0</v>
      </c>
      <c r="N80" s="241">
        <f t="shared" si="30"/>
        <v>1303800000</v>
      </c>
      <c r="O80" s="104">
        <f t="shared" si="31"/>
        <v>16</v>
      </c>
      <c r="P80" s="242"/>
      <c r="Q80" s="242"/>
      <c r="R80" s="242"/>
      <c r="S80" s="243"/>
      <c r="T80" s="243"/>
      <c r="U80" s="243"/>
      <c r="V80" s="108">
        <f t="shared" si="32"/>
        <v>264523</v>
      </c>
      <c r="W80" s="108">
        <f t="shared" si="33"/>
        <v>216908.86</v>
      </c>
      <c r="X80" s="244"/>
      <c r="Y80" s="244"/>
      <c r="Z80" s="244"/>
      <c r="AA80" s="244"/>
      <c r="AB80" s="244"/>
      <c r="AC80" s="244"/>
      <c r="AD80" s="244"/>
      <c r="AE80" s="244"/>
    </row>
    <row r="81" ht="15.0" customHeight="1">
      <c r="A81" s="234" t="s">
        <v>714</v>
      </c>
      <c r="B81" s="245" t="s">
        <v>715</v>
      </c>
      <c r="C81" s="236" t="s">
        <v>716</v>
      </c>
      <c r="D81" s="235" t="s">
        <v>717</v>
      </c>
      <c r="E81" s="237">
        <v>12.0</v>
      </c>
      <c r="F81" s="238">
        <v>52000.0</v>
      </c>
      <c r="G81" s="239">
        <v>3000.0</v>
      </c>
      <c r="H81" s="240">
        <v>55000.0</v>
      </c>
      <c r="I81" s="98">
        <f t="shared" si="2"/>
        <v>45100</v>
      </c>
      <c r="J81" s="99">
        <v>45100.0</v>
      </c>
      <c r="K81" s="100">
        <f t="shared" si="3"/>
        <v>36982</v>
      </c>
      <c r="L81" s="101">
        <f t="shared" si="29"/>
        <v>541200</v>
      </c>
      <c r="M81" s="102">
        <v>250.0</v>
      </c>
      <c r="N81" s="241">
        <f t="shared" si="30"/>
        <v>135300000</v>
      </c>
      <c r="O81" s="104">
        <f t="shared" si="31"/>
        <v>4</v>
      </c>
      <c r="P81" s="246" t="s">
        <v>381</v>
      </c>
      <c r="Q81" s="246" t="s">
        <v>382</v>
      </c>
      <c r="R81" s="246">
        <v>0.146</v>
      </c>
      <c r="S81" s="247" t="s">
        <v>718</v>
      </c>
      <c r="T81" s="247" t="s">
        <v>719</v>
      </c>
      <c r="U81" s="248" t="s">
        <v>720</v>
      </c>
      <c r="V81" s="108">
        <f t="shared" si="32"/>
        <v>54901</v>
      </c>
      <c r="W81" s="108">
        <f t="shared" si="33"/>
        <v>45018.82</v>
      </c>
      <c r="X81" s="244"/>
      <c r="Y81" s="244"/>
      <c r="Z81" s="244"/>
      <c r="AA81" s="244"/>
      <c r="AB81" s="244"/>
      <c r="AC81" s="244"/>
      <c r="AD81" s="244"/>
      <c r="AE81" s="244"/>
    </row>
    <row r="82" ht="15.0" customHeight="1">
      <c r="A82" s="234" t="s">
        <v>721</v>
      </c>
      <c r="B82" s="235" t="s">
        <v>722</v>
      </c>
      <c r="C82" s="236" t="s">
        <v>723</v>
      </c>
      <c r="D82" s="235" t="s">
        <v>724</v>
      </c>
      <c r="E82" s="237">
        <v>12.0</v>
      </c>
      <c r="F82" s="238">
        <v>52000.0</v>
      </c>
      <c r="G82" s="239">
        <v>3000.0</v>
      </c>
      <c r="H82" s="240">
        <v>55000.0</v>
      </c>
      <c r="I82" s="98">
        <f t="shared" si="2"/>
        <v>45100</v>
      </c>
      <c r="J82" s="99">
        <v>45100.0</v>
      </c>
      <c r="K82" s="100">
        <f t="shared" si="3"/>
        <v>36982</v>
      </c>
      <c r="L82" s="101">
        <f t="shared" si="29"/>
        <v>541200</v>
      </c>
      <c r="M82" s="102">
        <v>250.0</v>
      </c>
      <c r="N82" s="241">
        <f t="shared" si="30"/>
        <v>135300000</v>
      </c>
      <c r="O82" s="104">
        <f t="shared" si="31"/>
        <v>4</v>
      </c>
      <c r="P82" s="246" t="s">
        <v>381</v>
      </c>
      <c r="Q82" s="246" t="s">
        <v>382</v>
      </c>
      <c r="R82" s="246">
        <v>0.146</v>
      </c>
      <c r="S82" s="247" t="s">
        <v>718</v>
      </c>
      <c r="T82" s="247" t="s">
        <v>719</v>
      </c>
      <c r="U82" s="248" t="s">
        <v>725</v>
      </c>
      <c r="V82" s="108">
        <f t="shared" si="32"/>
        <v>54901</v>
      </c>
      <c r="W82" s="108">
        <f t="shared" si="33"/>
        <v>45018.82</v>
      </c>
      <c r="X82" s="244"/>
      <c r="Y82" s="244"/>
      <c r="Z82" s="244"/>
      <c r="AA82" s="244"/>
      <c r="AB82" s="244"/>
      <c r="AC82" s="244"/>
      <c r="AD82" s="244"/>
      <c r="AE82" s="244"/>
    </row>
    <row r="83" ht="15.0" customHeight="1">
      <c r="A83" s="234" t="s">
        <v>726</v>
      </c>
      <c r="B83" s="235" t="s">
        <v>727</v>
      </c>
      <c r="C83" s="236" t="s">
        <v>728</v>
      </c>
      <c r="D83" s="235" t="s">
        <v>729</v>
      </c>
      <c r="E83" s="237">
        <v>12.0</v>
      </c>
      <c r="F83" s="238">
        <v>52000.0</v>
      </c>
      <c r="G83" s="239">
        <v>3000.0</v>
      </c>
      <c r="H83" s="240">
        <v>55000.0</v>
      </c>
      <c r="I83" s="98">
        <f t="shared" si="2"/>
        <v>45100</v>
      </c>
      <c r="J83" s="99">
        <v>45100.0</v>
      </c>
      <c r="K83" s="100">
        <f t="shared" si="3"/>
        <v>36982</v>
      </c>
      <c r="L83" s="101">
        <f t="shared" si="29"/>
        <v>541200</v>
      </c>
      <c r="M83" s="102">
        <v>250.0</v>
      </c>
      <c r="N83" s="241">
        <f t="shared" si="30"/>
        <v>135300000</v>
      </c>
      <c r="O83" s="104">
        <f t="shared" si="31"/>
        <v>4</v>
      </c>
      <c r="P83" s="246" t="s">
        <v>381</v>
      </c>
      <c r="Q83" s="246" t="s">
        <v>382</v>
      </c>
      <c r="R83" s="246">
        <v>0.146</v>
      </c>
      <c r="S83" s="247" t="s">
        <v>718</v>
      </c>
      <c r="T83" s="247" t="s">
        <v>719</v>
      </c>
      <c r="U83" s="248" t="s">
        <v>730</v>
      </c>
      <c r="V83" s="108">
        <f t="shared" si="32"/>
        <v>54901</v>
      </c>
      <c r="W83" s="108">
        <f t="shared" si="33"/>
        <v>45018.82</v>
      </c>
      <c r="X83" s="244"/>
      <c r="Y83" s="244"/>
      <c r="Z83" s="244"/>
      <c r="AA83" s="244"/>
      <c r="AB83" s="244"/>
      <c r="AC83" s="244"/>
      <c r="AD83" s="244"/>
      <c r="AE83" s="244"/>
    </row>
    <row r="84" ht="15.0" customHeight="1">
      <c r="A84" s="234" t="s">
        <v>731</v>
      </c>
      <c r="B84" s="235" t="s">
        <v>732</v>
      </c>
      <c r="C84" s="236" t="s">
        <v>733</v>
      </c>
      <c r="D84" s="235" t="s">
        <v>734</v>
      </c>
      <c r="E84" s="237">
        <v>12.0</v>
      </c>
      <c r="F84" s="238">
        <v>50000.0</v>
      </c>
      <c r="G84" s="239">
        <v>3000.0</v>
      </c>
      <c r="H84" s="240">
        <v>53000.0</v>
      </c>
      <c r="I84" s="98">
        <f t="shared" si="2"/>
        <v>43460</v>
      </c>
      <c r="J84" s="99">
        <v>43460.0</v>
      </c>
      <c r="K84" s="100">
        <f t="shared" si="3"/>
        <v>35637.2</v>
      </c>
      <c r="L84" s="101">
        <f t="shared" si="29"/>
        <v>521520</v>
      </c>
      <c r="M84" s="102">
        <v>250.0</v>
      </c>
      <c r="N84" s="241">
        <f t="shared" si="30"/>
        <v>130380000</v>
      </c>
      <c r="O84" s="104">
        <f t="shared" si="31"/>
        <v>4</v>
      </c>
      <c r="P84" s="246" t="s">
        <v>381</v>
      </c>
      <c r="Q84" s="246" t="s">
        <v>382</v>
      </c>
      <c r="R84" s="246">
        <v>0.146</v>
      </c>
      <c r="S84" s="247" t="s">
        <v>718</v>
      </c>
      <c r="T84" s="247" t="s">
        <v>719</v>
      </c>
      <c r="U84" s="248" t="s">
        <v>735</v>
      </c>
      <c r="V84" s="108">
        <f t="shared" si="32"/>
        <v>52904.6</v>
      </c>
      <c r="W84" s="108">
        <f t="shared" si="33"/>
        <v>43381.772</v>
      </c>
      <c r="X84" s="244"/>
      <c r="Y84" s="244"/>
      <c r="Z84" s="244"/>
      <c r="AA84" s="244"/>
      <c r="AB84" s="244"/>
      <c r="AC84" s="244"/>
      <c r="AD84" s="244"/>
      <c r="AE84" s="244"/>
    </row>
    <row r="85" ht="15.0" customHeight="1">
      <c r="A85" s="234" t="s">
        <v>736</v>
      </c>
      <c r="B85" s="235" t="s">
        <v>737</v>
      </c>
      <c r="C85" s="236" t="s">
        <v>738</v>
      </c>
      <c r="D85" s="235" t="s">
        <v>739</v>
      </c>
      <c r="E85" s="237">
        <v>12.0</v>
      </c>
      <c r="F85" s="238">
        <v>62000.0</v>
      </c>
      <c r="G85" s="239">
        <v>3000.0</v>
      </c>
      <c r="H85" s="240">
        <v>65000.0</v>
      </c>
      <c r="I85" s="98">
        <f t="shared" si="2"/>
        <v>53300</v>
      </c>
      <c r="J85" s="99">
        <v>53300.0</v>
      </c>
      <c r="K85" s="100">
        <f t="shared" si="3"/>
        <v>43706</v>
      </c>
      <c r="L85" s="101">
        <f t="shared" si="29"/>
        <v>639600</v>
      </c>
      <c r="M85" s="102">
        <v>250.0</v>
      </c>
      <c r="N85" s="241">
        <f t="shared" si="30"/>
        <v>159900000</v>
      </c>
      <c r="O85" s="104">
        <f t="shared" si="31"/>
        <v>4</v>
      </c>
      <c r="P85" s="242"/>
      <c r="Q85" s="242"/>
      <c r="R85" s="242"/>
      <c r="S85" s="243"/>
      <c r="T85" s="243"/>
      <c r="U85" s="243"/>
      <c r="V85" s="108">
        <f t="shared" si="32"/>
        <v>64883</v>
      </c>
      <c r="W85" s="108">
        <f t="shared" si="33"/>
        <v>53204.06</v>
      </c>
      <c r="X85" s="244"/>
      <c r="Y85" s="244"/>
      <c r="Z85" s="244"/>
      <c r="AA85" s="244"/>
      <c r="AB85" s="244"/>
      <c r="AC85" s="244"/>
      <c r="AD85" s="244"/>
      <c r="AE85" s="244"/>
    </row>
    <row r="86" ht="15.0" customHeight="1">
      <c r="A86" s="80" t="s">
        <v>740</v>
      </c>
      <c r="B86" s="16"/>
      <c r="C86" s="16"/>
      <c r="D86" s="16"/>
      <c r="E86" s="16"/>
      <c r="F86" s="16"/>
      <c r="G86" s="16"/>
      <c r="H86" s="17"/>
      <c r="I86" s="98">
        <f t="shared" si="2"/>
        <v>0</v>
      </c>
      <c r="J86" s="99">
        <v>0.0</v>
      </c>
      <c r="K86" s="100">
        <f t="shared" si="3"/>
        <v>0</v>
      </c>
      <c r="L86" s="101"/>
      <c r="M86" s="85"/>
      <c r="N86" s="86"/>
      <c r="O86" s="104"/>
      <c r="P86" s="182"/>
      <c r="Q86" s="182"/>
      <c r="R86" s="182"/>
      <c r="S86" s="89"/>
      <c r="T86" s="89"/>
      <c r="U86" s="89"/>
      <c r="V86" s="90"/>
      <c r="W86" s="90"/>
      <c r="X86" s="233"/>
      <c r="Y86" s="233"/>
      <c r="Z86" s="233"/>
      <c r="AA86" s="233"/>
      <c r="AB86" s="233"/>
      <c r="AC86" s="233"/>
      <c r="AD86" s="233"/>
      <c r="AE86" s="233"/>
    </row>
    <row r="87" ht="15.0" customHeight="1">
      <c r="A87" s="148" t="s">
        <v>741</v>
      </c>
      <c r="B87" s="109" t="s">
        <v>742</v>
      </c>
      <c r="C87" s="110" t="s">
        <v>743</v>
      </c>
      <c r="D87" s="109" t="s">
        <v>744</v>
      </c>
      <c r="E87" s="111">
        <v>24.0</v>
      </c>
      <c r="F87" s="113">
        <v>35000.0</v>
      </c>
      <c r="G87" s="113">
        <v>2000.0</v>
      </c>
      <c r="H87" s="114">
        <v>37000.0</v>
      </c>
      <c r="I87" s="98">
        <f t="shared" si="2"/>
        <v>30340</v>
      </c>
      <c r="J87" s="99">
        <v>30340.0</v>
      </c>
      <c r="K87" s="100">
        <f t="shared" si="3"/>
        <v>24878.8</v>
      </c>
      <c r="L87" s="101">
        <f t="shared" ref="L87:L95" si="34">J87*E87</f>
        <v>728160</v>
      </c>
      <c r="M87" s="102">
        <v>250.0</v>
      </c>
      <c r="N87" s="115">
        <f t="shared" ref="N87:N95" si="35">L87*M87</f>
        <v>182040000</v>
      </c>
      <c r="O87" s="104">
        <f t="shared" ref="O87:O95" si="36">ROUNDUP(H87/$O$2,0)</f>
        <v>3</v>
      </c>
      <c r="P87" s="116" t="s">
        <v>364</v>
      </c>
      <c r="Q87" s="116" t="s">
        <v>365</v>
      </c>
      <c r="R87" s="116">
        <v>0.247</v>
      </c>
      <c r="S87" s="117" t="s">
        <v>745</v>
      </c>
      <c r="T87" s="117" t="s">
        <v>746</v>
      </c>
      <c r="U87" s="118" t="s">
        <v>747</v>
      </c>
      <c r="V87" s="108">
        <f t="shared" ref="V87:V95" si="37">H87-(H87*$W$2%)</f>
        <v>36933.4</v>
      </c>
      <c r="W87" s="108">
        <f t="shared" ref="W87:W95" si="38">J87-(J87*$W$2%)</f>
        <v>30285.388</v>
      </c>
      <c r="X87" s="249"/>
      <c r="Y87" s="249"/>
      <c r="Z87" s="249"/>
      <c r="AA87" s="249"/>
      <c r="AB87" s="249"/>
      <c r="AC87" s="249"/>
      <c r="AD87" s="249"/>
      <c r="AE87" s="249"/>
    </row>
    <row r="88" ht="15.0" customHeight="1">
      <c r="A88" s="148" t="s">
        <v>748</v>
      </c>
      <c r="B88" s="109" t="s">
        <v>749</v>
      </c>
      <c r="C88" s="109" t="s">
        <v>750</v>
      </c>
      <c r="D88" s="109" t="s">
        <v>751</v>
      </c>
      <c r="E88" s="111">
        <v>24.0</v>
      </c>
      <c r="F88" s="113">
        <v>36000.0</v>
      </c>
      <c r="G88" s="113">
        <v>2000.0</v>
      </c>
      <c r="H88" s="114">
        <v>38000.0</v>
      </c>
      <c r="I88" s="98">
        <f t="shared" si="2"/>
        <v>31160</v>
      </c>
      <c r="J88" s="99">
        <v>31160.0</v>
      </c>
      <c r="K88" s="100">
        <f t="shared" si="3"/>
        <v>25551.2</v>
      </c>
      <c r="L88" s="101">
        <f t="shared" si="34"/>
        <v>747840</v>
      </c>
      <c r="M88" s="102">
        <v>250.0</v>
      </c>
      <c r="N88" s="115">
        <f t="shared" si="35"/>
        <v>186960000</v>
      </c>
      <c r="O88" s="104">
        <f t="shared" si="36"/>
        <v>3</v>
      </c>
      <c r="P88" s="116" t="s">
        <v>364</v>
      </c>
      <c r="Q88" s="116" t="s">
        <v>365</v>
      </c>
      <c r="R88" s="116">
        <v>0.247</v>
      </c>
      <c r="S88" s="117" t="s">
        <v>745</v>
      </c>
      <c r="T88" s="117" t="s">
        <v>746</v>
      </c>
      <c r="U88" s="118" t="s">
        <v>752</v>
      </c>
      <c r="V88" s="108">
        <f t="shared" si="37"/>
        <v>37931.6</v>
      </c>
      <c r="W88" s="108">
        <f t="shared" si="38"/>
        <v>31103.912</v>
      </c>
      <c r="X88" s="249"/>
      <c r="Y88" s="249"/>
      <c r="Z88" s="249"/>
      <c r="AA88" s="249"/>
      <c r="AB88" s="249"/>
      <c r="AC88" s="249"/>
      <c r="AD88" s="249"/>
      <c r="AE88" s="249"/>
    </row>
    <row r="89" ht="15.0" customHeight="1">
      <c r="A89" s="148" t="s">
        <v>753</v>
      </c>
      <c r="B89" s="250" t="s">
        <v>754</v>
      </c>
      <c r="C89" s="109" t="s">
        <v>755</v>
      </c>
      <c r="D89" s="109" t="s">
        <v>756</v>
      </c>
      <c r="E89" s="111">
        <v>24.0</v>
      </c>
      <c r="F89" s="113">
        <v>37000.0</v>
      </c>
      <c r="G89" s="113">
        <v>2000.0</v>
      </c>
      <c r="H89" s="114">
        <v>39000.0</v>
      </c>
      <c r="I89" s="98">
        <f t="shared" si="2"/>
        <v>31980</v>
      </c>
      <c r="J89" s="99">
        <v>31980.0</v>
      </c>
      <c r="K89" s="100">
        <f t="shared" si="3"/>
        <v>26223.6</v>
      </c>
      <c r="L89" s="101">
        <f t="shared" si="34"/>
        <v>767520</v>
      </c>
      <c r="M89" s="102">
        <v>250.0</v>
      </c>
      <c r="N89" s="115">
        <f t="shared" si="35"/>
        <v>191880000</v>
      </c>
      <c r="O89" s="104">
        <f t="shared" si="36"/>
        <v>3</v>
      </c>
      <c r="P89" s="116" t="s">
        <v>364</v>
      </c>
      <c r="Q89" s="116" t="s">
        <v>365</v>
      </c>
      <c r="R89" s="116">
        <v>0.247</v>
      </c>
      <c r="S89" s="117" t="s">
        <v>745</v>
      </c>
      <c r="T89" s="117" t="s">
        <v>746</v>
      </c>
      <c r="U89" s="118" t="s">
        <v>757</v>
      </c>
      <c r="V89" s="108">
        <f t="shared" si="37"/>
        <v>38929.8</v>
      </c>
      <c r="W89" s="108">
        <f t="shared" si="38"/>
        <v>31922.436</v>
      </c>
      <c r="X89" s="249"/>
      <c r="Y89" s="249"/>
      <c r="Z89" s="249"/>
      <c r="AA89" s="249"/>
      <c r="AB89" s="249"/>
      <c r="AC89" s="249"/>
      <c r="AD89" s="249"/>
      <c r="AE89" s="249"/>
    </row>
    <row r="90" ht="15.0" customHeight="1">
      <c r="A90" s="148" t="s">
        <v>758</v>
      </c>
      <c r="B90" s="109" t="s">
        <v>759</v>
      </c>
      <c r="C90" s="109" t="s">
        <v>760</v>
      </c>
      <c r="D90" s="109" t="s">
        <v>761</v>
      </c>
      <c r="E90" s="111">
        <v>18.0</v>
      </c>
      <c r="F90" s="113">
        <v>41000.0</v>
      </c>
      <c r="G90" s="113">
        <v>2000.0</v>
      </c>
      <c r="H90" s="114">
        <v>43000.0</v>
      </c>
      <c r="I90" s="98">
        <f t="shared" si="2"/>
        <v>35260</v>
      </c>
      <c r="J90" s="99">
        <v>35260.0</v>
      </c>
      <c r="K90" s="100">
        <f t="shared" si="3"/>
        <v>28913.2</v>
      </c>
      <c r="L90" s="101">
        <f t="shared" si="34"/>
        <v>634680</v>
      </c>
      <c r="M90" s="102">
        <v>250.0</v>
      </c>
      <c r="N90" s="115">
        <f t="shared" si="35"/>
        <v>158670000</v>
      </c>
      <c r="O90" s="104">
        <f t="shared" si="36"/>
        <v>3</v>
      </c>
      <c r="P90" s="116" t="s">
        <v>364</v>
      </c>
      <c r="Q90" s="116" t="s">
        <v>365</v>
      </c>
      <c r="R90" s="116">
        <v>0.247</v>
      </c>
      <c r="S90" s="117" t="s">
        <v>745</v>
      </c>
      <c r="T90" s="117" t="s">
        <v>746</v>
      </c>
      <c r="U90" s="118" t="s">
        <v>762</v>
      </c>
      <c r="V90" s="108">
        <f t="shared" si="37"/>
        <v>42922.6</v>
      </c>
      <c r="W90" s="108">
        <f t="shared" si="38"/>
        <v>35196.532</v>
      </c>
      <c r="X90" s="249"/>
      <c r="Y90" s="249"/>
      <c r="Z90" s="249"/>
      <c r="AA90" s="249"/>
      <c r="AB90" s="249"/>
      <c r="AC90" s="249"/>
      <c r="AD90" s="249"/>
      <c r="AE90" s="249"/>
    </row>
    <row r="91" ht="15.0" customHeight="1">
      <c r="A91" s="148" t="s">
        <v>763</v>
      </c>
      <c r="B91" s="109" t="s">
        <v>764</v>
      </c>
      <c r="C91" s="109" t="s">
        <v>765</v>
      </c>
      <c r="D91" s="109" t="s">
        <v>766</v>
      </c>
      <c r="E91" s="111">
        <v>18.0</v>
      </c>
      <c r="F91" s="113">
        <v>56000.0</v>
      </c>
      <c r="G91" s="113">
        <v>2000.0</v>
      </c>
      <c r="H91" s="114">
        <v>58000.0</v>
      </c>
      <c r="I91" s="98">
        <f t="shared" si="2"/>
        <v>47560</v>
      </c>
      <c r="J91" s="99">
        <v>47560.0</v>
      </c>
      <c r="K91" s="100">
        <f t="shared" si="3"/>
        <v>38999.2</v>
      </c>
      <c r="L91" s="101">
        <f t="shared" si="34"/>
        <v>856080</v>
      </c>
      <c r="M91" s="102">
        <v>250.0</v>
      </c>
      <c r="N91" s="115">
        <f t="shared" si="35"/>
        <v>214020000</v>
      </c>
      <c r="O91" s="104">
        <f t="shared" si="36"/>
        <v>4</v>
      </c>
      <c r="P91" s="116" t="s">
        <v>364</v>
      </c>
      <c r="Q91" s="116" t="s">
        <v>365</v>
      </c>
      <c r="R91" s="116">
        <v>0.247</v>
      </c>
      <c r="S91" s="117" t="s">
        <v>745</v>
      </c>
      <c r="T91" s="117" t="s">
        <v>746</v>
      </c>
      <c r="U91" s="118" t="s">
        <v>767</v>
      </c>
      <c r="V91" s="108">
        <f t="shared" si="37"/>
        <v>57895.6</v>
      </c>
      <c r="W91" s="108">
        <f t="shared" si="38"/>
        <v>47474.392</v>
      </c>
      <c r="X91" s="249"/>
      <c r="Y91" s="249"/>
      <c r="Z91" s="249"/>
      <c r="AA91" s="249"/>
      <c r="AB91" s="249"/>
      <c r="AC91" s="249"/>
      <c r="AD91" s="249"/>
      <c r="AE91" s="249"/>
    </row>
    <row r="92" ht="15.0" customHeight="1">
      <c r="A92" s="148" t="s">
        <v>768</v>
      </c>
      <c r="B92" s="109" t="s">
        <v>769</v>
      </c>
      <c r="C92" s="109" t="s">
        <v>770</v>
      </c>
      <c r="D92" s="109" t="s">
        <v>771</v>
      </c>
      <c r="E92" s="111">
        <v>18.0</v>
      </c>
      <c r="F92" s="113">
        <v>58000.0</v>
      </c>
      <c r="G92" s="113">
        <v>2000.0</v>
      </c>
      <c r="H92" s="114">
        <v>60000.0</v>
      </c>
      <c r="I92" s="98">
        <f t="shared" si="2"/>
        <v>49200</v>
      </c>
      <c r="J92" s="99">
        <v>49200.0</v>
      </c>
      <c r="K92" s="100">
        <f t="shared" si="3"/>
        <v>40344</v>
      </c>
      <c r="L92" s="101">
        <f t="shared" si="34"/>
        <v>885600</v>
      </c>
      <c r="M92" s="102">
        <v>250.0</v>
      </c>
      <c r="N92" s="115">
        <f t="shared" si="35"/>
        <v>221400000</v>
      </c>
      <c r="O92" s="104">
        <f t="shared" si="36"/>
        <v>4</v>
      </c>
      <c r="P92" s="116" t="s">
        <v>364</v>
      </c>
      <c r="Q92" s="116" t="s">
        <v>365</v>
      </c>
      <c r="R92" s="116">
        <v>0.247</v>
      </c>
      <c r="S92" s="117" t="s">
        <v>745</v>
      </c>
      <c r="T92" s="117" t="s">
        <v>746</v>
      </c>
      <c r="U92" s="118" t="s">
        <v>772</v>
      </c>
      <c r="V92" s="108">
        <f t="shared" si="37"/>
        <v>59892</v>
      </c>
      <c r="W92" s="108">
        <f t="shared" si="38"/>
        <v>49111.44</v>
      </c>
      <c r="X92" s="249"/>
      <c r="Y92" s="249"/>
      <c r="Z92" s="249"/>
      <c r="AA92" s="249"/>
      <c r="AB92" s="249"/>
      <c r="AC92" s="249"/>
      <c r="AD92" s="249"/>
      <c r="AE92" s="249"/>
    </row>
    <row r="93" ht="15.0" customHeight="1">
      <c r="A93" s="148" t="s">
        <v>773</v>
      </c>
      <c r="B93" s="109" t="s">
        <v>774</v>
      </c>
      <c r="C93" s="109" t="s">
        <v>775</v>
      </c>
      <c r="D93" s="109" t="s">
        <v>776</v>
      </c>
      <c r="E93" s="111">
        <v>18.0</v>
      </c>
      <c r="F93" s="113">
        <v>72000.0</v>
      </c>
      <c r="G93" s="113">
        <v>3000.0</v>
      </c>
      <c r="H93" s="114">
        <v>75000.0</v>
      </c>
      <c r="I93" s="98">
        <f t="shared" si="2"/>
        <v>61500</v>
      </c>
      <c r="J93" s="99">
        <v>61500.0</v>
      </c>
      <c r="K93" s="100">
        <f t="shared" si="3"/>
        <v>50430</v>
      </c>
      <c r="L93" s="101">
        <f t="shared" si="34"/>
        <v>1107000</v>
      </c>
      <c r="M93" s="102">
        <v>250.0</v>
      </c>
      <c r="N93" s="115">
        <f t="shared" si="35"/>
        <v>276750000</v>
      </c>
      <c r="O93" s="104">
        <f t="shared" si="36"/>
        <v>5</v>
      </c>
      <c r="P93" s="116" t="s">
        <v>364</v>
      </c>
      <c r="Q93" s="116" t="s">
        <v>365</v>
      </c>
      <c r="R93" s="116">
        <v>0.247</v>
      </c>
      <c r="S93" s="117" t="s">
        <v>745</v>
      </c>
      <c r="T93" s="117" t="s">
        <v>746</v>
      </c>
      <c r="U93" s="118" t="s">
        <v>777</v>
      </c>
      <c r="V93" s="108">
        <f t="shared" si="37"/>
        <v>74865</v>
      </c>
      <c r="W93" s="108">
        <f t="shared" si="38"/>
        <v>61389.3</v>
      </c>
      <c r="X93" s="249"/>
      <c r="Y93" s="249"/>
      <c r="Z93" s="249"/>
      <c r="AA93" s="249"/>
      <c r="AB93" s="249"/>
      <c r="AC93" s="249"/>
      <c r="AD93" s="249"/>
      <c r="AE93" s="249"/>
    </row>
    <row r="94" ht="15.0" customHeight="1">
      <c r="A94" s="148" t="s">
        <v>778</v>
      </c>
      <c r="B94" s="109" t="s">
        <v>779</v>
      </c>
      <c r="C94" s="110" t="s">
        <v>780</v>
      </c>
      <c r="D94" s="109" t="s">
        <v>781</v>
      </c>
      <c r="E94" s="111">
        <v>24.0</v>
      </c>
      <c r="F94" s="113">
        <v>52000.0</v>
      </c>
      <c r="G94" s="113">
        <v>3000.0</v>
      </c>
      <c r="H94" s="114">
        <v>55000.0</v>
      </c>
      <c r="I94" s="98">
        <f t="shared" si="2"/>
        <v>45100</v>
      </c>
      <c r="J94" s="99">
        <v>45100.0</v>
      </c>
      <c r="K94" s="100">
        <f t="shared" si="3"/>
        <v>36982</v>
      </c>
      <c r="L94" s="101">
        <f t="shared" si="34"/>
        <v>1082400</v>
      </c>
      <c r="M94" s="102">
        <v>250.0</v>
      </c>
      <c r="N94" s="115">
        <f t="shared" si="35"/>
        <v>270600000</v>
      </c>
      <c r="O94" s="104">
        <f t="shared" si="36"/>
        <v>4</v>
      </c>
      <c r="P94" s="116" t="s">
        <v>364</v>
      </c>
      <c r="Q94" s="116" t="s">
        <v>365</v>
      </c>
      <c r="R94" s="116">
        <v>0.247</v>
      </c>
      <c r="S94" s="117" t="s">
        <v>745</v>
      </c>
      <c r="T94" s="117" t="s">
        <v>746</v>
      </c>
      <c r="U94" s="118" t="s">
        <v>782</v>
      </c>
      <c r="V94" s="108">
        <f t="shared" si="37"/>
        <v>54901</v>
      </c>
      <c r="W94" s="108">
        <f t="shared" si="38"/>
        <v>45018.82</v>
      </c>
      <c r="X94" s="249"/>
      <c r="Y94" s="249"/>
      <c r="Z94" s="249"/>
      <c r="AA94" s="249"/>
      <c r="AB94" s="249"/>
      <c r="AC94" s="249"/>
      <c r="AD94" s="249"/>
      <c r="AE94" s="249"/>
    </row>
    <row r="95" ht="15.0" customHeight="1">
      <c r="A95" s="148" t="s">
        <v>783</v>
      </c>
      <c r="B95" s="109" t="s">
        <v>784</v>
      </c>
      <c r="C95" s="110" t="s">
        <v>785</v>
      </c>
      <c r="D95" s="109" t="s">
        <v>786</v>
      </c>
      <c r="E95" s="111">
        <v>24.0</v>
      </c>
      <c r="F95" s="113">
        <v>52000.0</v>
      </c>
      <c r="G95" s="113">
        <v>3000.0</v>
      </c>
      <c r="H95" s="114">
        <v>55000.0</v>
      </c>
      <c r="I95" s="98">
        <f t="shared" si="2"/>
        <v>45100</v>
      </c>
      <c r="J95" s="99">
        <v>45100.0</v>
      </c>
      <c r="K95" s="100">
        <f t="shared" si="3"/>
        <v>36982</v>
      </c>
      <c r="L95" s="101">
        <f t="shared" si="34"/>
        <v>1082400</v>
      </c>
      <c r="M95" s="102">
        <v>250.0</v>
      </c>
      <c r="N95" s="115">
        <f t="shared" si="35"/>
        <v>270600000</v>
      </c>
      <c r="O95" s="104">
        <f t="shared" si="36"/>
        <v>4</v>
      </c>
      <c r="P95" s="116" t="s">
        <v>364</v>
      </c>
      <c r="Q95" s="116" t="s">
        <v>365</v>
      </c>
      <c r="R95" s="116">
        <v>0.247</v>
      </c>
      <c r="S95" s="117" t="s">
        <v>745</v>
      </c>
      <c r="T95" s="117" t="s">
        <v>746</v>
      </c>
      <c r="U95" s="118" t="s">
        <v>787</v>
      </c>
      <c r="V95" s="108">
        <f t="shared" si="37"/>
        <v>54901</v>
      </c>
      <c r="W95" s="108">
        <f t="shared" si="38"/>
        <v>45018.82</v>
      </c>
      <c r="X95" s="249"/>
      <c r="Y95" s="249"/>
      <c r="Z95" s="249"/>
      <c r="AA95" s="249"/>
      <c r="AB95" s="249"/>
      <c r="AC95" s="249"/>
      <c r="AD95" s="249"/>
      <c r="AE95" s="249"/>
    </row>
    <row r="96" ht="15.75" customHeight="1">
      <c r="E96" s="251"/>
      <c r="H96" s="252"/>
      <c r="I96" s="253"/>
      <c r="J96" s="254"/>
      <c r="K96" s="255"/>
      <c r="L96" s="256"/>
      <c r="M96" s="257"/>
      <c r="N96" s="258"/>
      <c r="O96" s="259"/>
      <c r="P96" s="260"/>
      <c r="Q96" s="260"/>
      <c r="R96" s="260"/>
    </row>
    <row r="97" ht="15.75" customHeight="1">
      <c r="E97" s="251"/>
      <c r="H97" s="252"/>
      <c r="I97" s="253"/>
      <c r="J97" s="254"/>
      <c r="K97" s="255"/>
      <c r="L97" s="256"/>
      <c r="M97" s="257"/>
      <c r="N97" s="258"/>
      <c r="O97" s="259"/>
      <c r="P97" s="260"/>
      <c r="Q97" s="260"/>
      <c r="R97" s="260"/>
    </row>
    <row r="98" ht="15.75" customHeight="1">
      <c r="E98" s="251"/>
      <c r="H98" s="252"/>
      <c r="I98" s="253"/>
      <c r="J98" s="254"/>
      <c r="K98" s="255"/>
      <c r="L98" s="256"/>
      <c r="M98" s="257"/>
      <c r="N98" s="258"/>
      <c r="O98" s="259"/>
      <c r="P98" s="260"/>
      <c r="Q98" s="260"/>
      <c r="R98" s="260"/>
    </row>
    <row r="99" ht="15.75" customHeight="1">
      <c r="E99" s="251"/>
      <c r="H99" s="252"/>
      <c r="I99" s="253"/>
      <c r="J99" s="254"/>
      <c r="K99" s="255"/>
      <c r="L99" s="256"/>
      <c r="M99" s="257"/>
      <c r="N99" s="258"/>
      <c r="O99" s="259"/>
      <c r="P99" s="260"/>
      <c r="Q99" s="260"/>
      <c r="R99" s="260"/>
    </row>
    <row r="100" ht="15.75" customHeight="1">
      <c r="E100" s="251"/>
      <c r="H100" s="252"/>
      <c r="I100" s="253"/>
      <c r="J100" s="254"/>
      <c r="K100" s="255"/>
      <c r="L100" s="256"/>
      <c r="M100" s="257"/>
      <c r="N100" s="258"/>
      <c r="O100" s="259"/>
      <c r="P100" s="260"/>
      <c r="Q100" s="260"/>
      <c r="R100" s="260"/>
    </row>
    <row r="101" ht="15.75" customHeight="1">
      <c r="E101" s="251"/>
      <c r="H101" s="252"/>
      <c r="I101" s="253"/>
      <c r="J101" s="254"/>
      <c r="K101" s="255"/>
      <c r="L101" s="256"/>
      <c r="M101" s="257"/>
      <c r="N101" s="258"/>
      <c r="O101" s="259"/>
      <c r="P101" s="260"/>
      <c r="Q101" s="260"/>
      <c r="R101" s="260"/>
    </row>
    <row r="102" ht="15.75" customHeight="1">
      <c r="E102" s="251"/>
      <c r="H102" s="252"/>
      <c r="I102" s="253"/>
      <c r="J102" s="254"/>
      <c r="K102" s="255"/>
      <c r="L102" s="256"/>
      <c r="M102" s="257"/>
      <c r="N102" s="258"/>
      <c r="O102" s="259"/>
      <c r="P102" s="260"/>
      <c r="Q102" s="260"/>
      <c r="R102" s="260"/>
    </row>
    <row r="103" ht="15.75" customHeight="1">
      <c r="E103" s="251"/>
      <c r="H103" s="252"/>
      <c r="I103" s="253"/>
      <c r="J103" s="254"/>
      <c r="K103" s="255"/>
      <c r="L103" s="256"/>
      <c r="M103" s="257"/>
      <c r="N103" s="258"/>
      <c r="O103" s="259"/>
      <c r="P103" s="260"/>
      <c r="Q103" s="260"/>
      <c r="R103" s="260"/>
    </row>
    <row r="104" ht="15.75" customHeight="1">
      <c r="E104" s="251"/>
      <c r="H104" s="252"/>
      <c r="I104" s="253"/>
      <c r="J104" s="254"/>
      <c r="K104" s="255"/>
      <c r="L104" s="256"/>
      <c r="M104" s="257"/>
      <c r="N104" s="258"/>
      <c r="O104" s="259"/>
      <c r="P104" s="260"/>
      <c r="Q104" s="260"/>
      <c r="R104" s="260"/>
    </row>
    <row r="105" ht="15.75" customHeight="1">
      <c r="E105" s="251"/>
      <c r="H105" s="252"/>
      <c r="I105" s="253"/>
      <c r="J105" s="254"/>
      <c r="K105" s="255"/>
      <c r="L105" s="256"/>
      <c r="M105" s="257"/>
      <c r="N105" s="258"/>
      <c r="O105" s="259"/>
      <c r="P105" s="260"/>
      <c r="Q105" s="260"/>
      <c r="R105" s="260"/>
    </row>
    <row r="106" ht="15.75" customHeight="1">
      <c r="E106" s="251"/>
      <c r="H106" s="252"/>
      <c r="I106" s="253"/>
      <c r="J106" s="254"/>
      <c r="K106" s="255"/>
      <c r="L106" s="256"/>
      <c r="M106" s="257"/>
      <c r="N106" s="258"/>
      <c r="O106" s="259"/>
      <c r="P106" s="260"/>
      <c r="Q106" s="260"/>
      <c r="R106" s="260"/>
    </row>
    <row r="107" ht="15.75" customHeight="1">
      <c r="E107" s="251"/>
      <c r="H107" s="252"/>
      <c r="I107" s="253"/>
      <c r="J107" s="254"/>
      <c r="K107" s="255"/>
      <c r="L107" s="256"/>
      <c r="M107" s="257"/>
      <c r="N107" s="258"/>
      <c r="O107" s="259"/>
      <c r="P107" s="260"/>
      <c r="Q107" s="260"/>
      <c r="R107" s="260"/>
    </row>
    <row r="108" ht="15.75" customHeight="1">
      <c r="E108" s="251"/>
      <c r="H108" s="252"/>
      <c r="I108" s="253"/>
      <c r="J108" s="254"/>
      <c r="K108" s="255"/>
      <c r="L108" s="256"/>
      <c r="M108" s="257"/>
      <c r="N108" s="258"/>
      <c r="O108" s="259"/>
      <c r="P108" s="260"/>
      <c r="Q108" s="260"/>
      <c r="R108" s="260"/>
    </row>
    <row r="109" ht="15.75" customHeight="1">
      <c r="E109" s="251"/>
      <c r="H109" s="252"/>
      <c r="I109" s="253"/>
      <c r="J109" s="254"/>
      <c r="K109" s="255"/>
      <c r="L109" s="256"/>
      <c r="M109" s="257"/>
      <c r="N109" s="258"/>
      <c r="O109" s="259"/>
      <c r="P109" s="260"/>
      <c r="Q109" s="260"/>
      <c r="R109" s="260"/>
    </row>
    <row r="110" ht="15.75" customHeight="1">
      <c r="E110" s="251"/>
      <c r="H110" s="252"/>
      <c r="I110" s="253"/>
      <c r="J110" s="254"/>
      <c r="K110" s="255"/>
      <c r="L110" s="256"/>
      <c r="M110" s="257"/>
      <c r="N110" s="258"/>
      <c r="O110" s="259"/>
      <c r="P110" s="260"/>
      <c r="Q110" s="260"/>
      <c r="R110" s="260"/>
    </row>
    <row r="111" ht="15.75" customHeight="1">
      <c r="E111" s="251"/>
      <c r="H111" s="252"/>
      <c r="I111" s="253"/>
      <c r="J111" s="254"/>
      <c r="K111" s="255"/>
      <c r="L111" s="256"/>
      <c r="M111" s="257"/>
      <c r="N111" s="258"/>
      <c r="O111" s="259"/>
      <c r="P111" s="260"/>
      <c r="Q111" s="260"/>
      <c r="R111" s="260"/>
    </row>
    <row r="112" ht="15.75" customHeight="1">
      <c r="E112" s="251"/>
      <c r="H112" s="252"/>
      <c r="I112" s="253"/>
      <c r="J112" s="254"/>
      <c r="K112" s="255"/>
      <c r="L112" s="256"/>
      <c r="M112" s="257"/>
      <c r="N112" s="258"/>
      <c r="O112" s="259"/>
      <c r="P112" s="260"/>
      <c r="Q112" s="260"/>
      <c r="R112" s="260"/>
    </row>
    <row r="113" ht="15.75" customHeight="1">
      <c r="E113" s="251"/>
      <c r="H113" s="252"/>
      <c r="I113" s="253"/>
      <c r="J113" s="254"/>
      <c r="K113" s="255"/>
      <c r="L113" s="256"/>
      <c r="M113" s="257"/>
      <c r="N113" s="258"/>
      <c r="O113" s="259"/>
      <c r="P113" s="260"/>
      <c r="Q113" s="260"/>
      <c r="R113" s="260"/>
    </row>
    <row r="114" ht="15.75" customHeight="1">
      <c r="E114" s="251"/>
      <c r="H114" s="252"/>
      <c r="I114" s="253"/>
      <c r="J114" s="254"/>
      <c r="K114" s="255"/>
      <c r="L114" s="256"/>
      <c r="M114" s="257"/>
      <c r="N114" s="258"/>
      <c r="O114" s="259"/>
      <c r="P114" s="260"/>
      <c r="Q114" s="260"/>
      <c r="R114" s="260"/>
    </row>
    <row r="115" ht="15.75" customHeight="1">
      <c r="E115" s="251"/>
      <c r="H115" s="252"/>
      <c r="I115" s="253"/>
      <c r="J115" s="254"/>
      <c r="K115" s="255"/>
      <c r="L115" s="256"/>
      <c r="M115" s="257"/>
      <c r="N115" s="258"/>
      <c r="O115" s="259"/>
      <c r="P115" s="260"/>
      <c r="Q115" s="260"/>
      <c r="R115" s="260"/>
    </row>
    <row r="116" ht="15.75" customHeight="1">
      <c r="E116" s="251"/>
      <c r="H116" s="252"/>
      <c r="I116" s="253"/>
      <c r="J116" s="254"/>
      <c r="K116" s="255"/>
      <c r="L116" s="256"/>
      <c r="M116" s="257"/>
      <c r="N116" s="258"/>
      <c r="O116" s="259"/>
      <c r="P116" s="260"/>
      <c r="Q116" s="260"/>
      <c r="R116" s="260"/>
    </row>
    <row r="117" ht="15.75" customHeight="1">
      <c r="E117" s="251"/>
      <c r="H117" s="252"/>
      <c r="I117" s="253"/>
      <c r="J117" s="254"/>
      <c r="K117" s="255"/>
      <c r="L117" s="256"/>
      <c r="M117" s="257"/>
      <c r="N117" s="258"/>
      <c r="O117" s="259"/>
      <c r="P117" s="260"/>
      <c r="Q117" s="260"/>
      <c r="R117" s="260"/>
    </row>
    <row r="118" ht="15.75" customHeight="1">
      <c r="E118" s="251"/>
      <c r="H118" s="252"/>
      <c r="I118" s="253"/>
      <c r="J118" s="254"/>
      <c r="K118" s="255"/>
      <c r="L118" s="256"/>
      <c r="M118" s="257"/>
      <c r="N118" s="258"/>
      <c r="O118" s="259"/>
      <c r="P118" s="260"/>
      <c r="Q118" s="260"/>
      <c r="R118" s="260"/>
    </row>
    <row r="119" ht="15.75" customHeight="1">
      <c r="E119" s="251"/>
      <c r="H119" s="252"/>
      <c r="I119" s="253"/>
      <c r="J119" s="254"/>
      <c r="K119" s="255"/>
      <c r="L119" s="256"/>
      <c r="M119" s="257"/>
      <c r="N119" s="258"/>
      <c r="O119" s="259"/>
      <c r="P119" s="260"/>
      <c r="Q119" s="260"/>
      <c r="R119" s="260"/>
    </row>
    <row r="120" ht="15.75" customHeight="1">
      <c r="E120" s="251"/>
      <c r="H120" s="252"/>
      <c r="I120" s="253"/>
      <c r="J120" s="254"/>
      <c r="K120" s="255"/>
      <c r="L120" s="256"/>
      <c r="M120" s="257"/>
      <c r="N120" s="258"/>
      <c r="O120" s="259"/>
      <c r="P120" s="260"/>
      <c r="Q120" s="260"/>
      <c r="R120" s="260"/>
    </row>
    <row r="121" ht="15.75" customHeight="1">
      <c r="E121" s="251"/>
      <c r="H121" s="252"/>
      <c r="I121" s="253"/>
      <c r="J121" s="254"/>
      <c r="K121" s="255"/>
      <c r="L121" s="256"/>
      <c r="M121" s="257"/>
      <c r="N121" s="258"/>
      <c r="O121" s="259"/>
      <c r="P121" s="260"/>
      <c r="Q121" s="260"/>
      <c r="R121" s="260"/>
    </row>
    <row r="122" ht="15.75" customHeight="1">
      <c r="E122" s="251"/>
      <c r="H122" s="252"/>
      <c r="I122" s="253"/>
      <c r="J122" s="254"/>
      <c r="K122" s="255"/>
      <c r="L122" s="256"/>
      <c r="M122" s="257"/>
      <c r="N122" s="258"/>
      <c r="O122" s="259"/>
      <c r="P122" s="260"/>
      <c r="Q122" s="260"/>
      <c r="R122" s="260"/>
    </row>
    <row r="123" ht="15.75" customHeight="1">
      <c r="E123" s="251"/>
      <c r="H123" s="252"/>
      <c r="I123" s="253"/>
      <c r="J123" s="254"/>
      <c r="K123" s="255"/>
      <c r="L123" s="256"/>
      <c r="M123" s="257"/>
      <c r="N123" s="258"/>
      <c r="O123" s="259"/>
      <c r="P123" s="260"/>
      <c r="Q123" s="260"/>
      <c r="R123" s="260"/>
    </row>
    <row r="124" ht="15.75" customHeight="1">
      <c r="E124" s="251"/>
      <c r="H124" s="252"/>
      <c r="I124" s="253"/>
      <c r="J124" s="254"/>
      <c r="K124" s="255"/>
      <c r="L124" s="256"/>
      <c r="M124" s="257"/>
      <c r="N124" s="258"/>
      <c r="O124" s="259"/>
      <c r="P124" s="260"/>
      <c r="Q124" s="260"/>
      <c r="R124" s="260"/>
    </row>
    <row r="125" ht="15.75" customHeight="1">
      <c r="E125" s="251"/>
      <c r="H125" s="252"/>
      <c r="I125" s="253"/>
      <c r="J125" s="254"/>
      <c r="K125" s="255"/>
      <c r="L125" s="256"/>
      <c r="M125" s="257"/>
      <c r="N125" s="258"/>
      <c r="O125" s="259"/>
      <c r="P125" s="260"/>
      <c r="Q125" s="260"/>
      <c r="R125" s="260"/>
    </row>
    <row r="126" ht="15.75" customHeight="1">
      <c r="E126" s="251"/>
      <c r="H126" s="252"/>
      <c r="I126" s="253"/>
      <c r="J126" s="254"/>
      <c r="K126" s="255"/>
      <c r="L126" s="256"/>
      <c r="M126" s="257"/>
      <c r="N126" s="258"/>
      <c r="O126" s="259"/>
      <c r="P126" s="260"/>
      <c r="Q126" s="260"/>
      <c r="R126" s="260"/>
    </row>
    <row r="127" ht="15.75" customHeight="1">
      <c r="E127" s="251"/>
      <c r="H127" s="252"/>
      <c r="I127" s="253"/>
      <c r="J127" s="254"/>
      <c r="K127" s="255"/>
      <c r="L127" s="256"/>
      <c r="M127" s="257"/>
      <c r="N127" s="258"/>
      <c r="O127" s="259"/>
      <c r="P127" s="260"/>
      <c r="Q127" s="260"/>
      <c r="R127" s="260"/>
    </row>
    <row r="128" ht="15.75" customHeight="1">
      <c r="E128" s="251"/>
      <c r="H128" s="252"/>
      <c r="I128" s="253"/>
      <c r="J128" s="254"/>
      <c r="K128" s="255"/>
      <c r="L128" s="256"/>
      <c r="M128" s="257"/>
      <c r="N128" s="258"/>
      <c r="O128" s="259"/>
      <c r="P128" s="260"/>
      <c r="Q128" s="260"/>
      <c r="R128" s="260"/>
    </row>
    <row r="129" ht="15.75" customHeight="1">
      <c r="E129" s="251"/>
      <c r="H129" s="252"/>
      <c r="I129" s="253"/>
      <c r="J129" s="254"/>
      <c r="K129" s="255"/>
      <c r="L129" s="256"/>
      <c r="M129" s="257"/>
      <c r="N129" s="258"/>
      <c r="O129" s="259"/>
      <c r="P129" s="260"/>
      <c r="Q129" s="260"/>
      <c r="R129" s="260"/>
    </row>
    <row r="130" ht="15.75" customHeight="1">
      <c r="E130" s="251"/>
      <c r="H130" s="252"/>
      <c r="I130" s="253"/>
      <c r="J130" s="254"/>
      <c r="K130" s="255"/>
      <c r="L130" s="256"/>
      <c r="M130" s="257"/>
      <c r="N130" s="258"/>
      <c r="O130" s="259"/>
      <c r="P130" s="260"/>
      <c r="Q130" s="260"/>
      <c r="R130" s="260"/>
    </row>
    <row r="131" ht="15.75" customHeight="1">
      <c r="E131" s="251"/>
      <c r="H131" s="252"/>
      <c r="I131" s="253"/>
      <c r="J131" s="254"/>
      <c r="K131" s="255"/>
      <c r="L131" s="256"/>
      <c r="M131" s="257"/>
      <c r="N131" s="258"/>
      <c r="O131" s="259"/>
      <c r="P131" s="260"/>
      <c r="Q131" s="260"/>
      <c r="R131" s="260"/>
    </row>
    <row r="132" ht="15.75" customHeight="1">
      <c r="E132" s="251"/>
      <c r="H132" s="252"/>
      <c r="I132" s="253"/>
      <c r="J132" s="254"/>
      <c r="K132" s="255"/>
      <c r="L132" s="256"/>
      <c r="M132" s="257"/>
      <c r="N132" s="258"/>
      <c r="O132" s="259"/>
      <c r="P132" s="260"/>
      <c r="Q132" s="260"/>
      <c r="R132" s="260"/>
    </row>
    <row r="133" ht="15.75" customHeight="1">
      <c r="E133" s="251"/>
      <c r="H133" s="252"/>
      <c r="I133" s="253"/>
      <c r="J133" s="254"/>
      <c r="K133" s="255"/>
      <c r="L133" s="256"/>
      <c r="M133" s="257"/>
      <c r="N133" s="258"/>
      <c r="O133" s="259"/>
      <c r="P133" s="260"/>
      <c r="Q133" s="260"/>
      <c r="R133" s="260"/>
    </row>
    <row r="134" ht="15.75" customHeight="1">
      <c r="E134" s="251"/>
      <c r="H134" s="252"/>
      <c r="I134" s="253"/>
      <c r="J134" s="254"/>
      <c r="K134" s="255"/>
      <c r="L134" s="256"/>
      <c r="M134" s="257"/>
      <c r="N134" s="258"/>
      <c r="O134" s="259"/>
      <c r="P134" s="260"/>
      <c r="Q134" s="260"/>
      <c r="R134" s="260"/>
    </row>
    <row r="135" ht="15.75" customHeight="1">
      <c r="E135" s="251"/>
      <c r="H135" s="252"/>
      <c r="I135" s="253"/>
      <c r="J135" s="254"/>
      <c r="K135" s="255"/>
      <c r="L135" s="256"/>
      <c r="M135" s="257"/>
      <c r="N135" s="258"/>
      <c r="O135" s="259"/>
      <c r="P135" s="260"/>
      <c r="Q135" s="260"/>
      <c r="R135" s="260"/>
    </row>
    <row r="136" ht="15.75" customHeight="1">
      <c r="E136" s="251"/>
      <c r="H136" s="252"/>
      <c r="I136" s="253"/>
      <c r="J136" s="254"/>
      <c r="K136" s="255"/>
      <c r="L136" s="256"/>
      <c r="M136" s="257"/>
      <c r="N136" s="258"/>
      <c r="O136" s="259"/>
      <c r="P136" s="260"/>
      <c r="Q136" s="260"/>
      <c r="R136" s="260"/>
    </row>
    <row r="137" ht="15.75" customHeight="1">
      <c r="E137" s="251"/>
      <c r="H137" s="252"/>
      <c r="I137" s="253"/>
      <c r="J137" s="254"/>
      <c r="K137" s="255"/>
      <c r="L137" s="256"/>
      <c r="M137" s="257"/>
      <c r="N137" s="258"/>
      <c r="O137" s="259"/>
      <c r="P137" s="260"/>
      <c r="Q137" s="260"/>
      <c r="R137" s="260"/>
    </row>
    <row r="138" ht="15.75" customHeight="1">
      <c r="E138" s="251"/>
      <c r="H138" s="252"/>
      <c r="I138" s="253"/>
      <c r="J138" s="254"/>
      <c r="K138" s="255"/>
      <c r="L138" s="256"/>
      <c r="M138" s="257"/>
      <c r="N138" s="258"/>
      <c r="O138" s="259"/>
      <c r="P138" s="260"/>
      <c r="Q138" s="260"/>
      <c r="R138" s="260"/>
    </row>
    <row r="139" ht="15.75" customHeight="1">
      <c r="E139" s="251"/>
      <c r="H139" s="252"/>
      <c r="I139" s="253"/>
      <c r="J139" s="254"/>
      <c r="K139" s="255"/>
      <c r="L139" s="256"/>
      <c r="M139" s="257"/>
      <c r="N139" s="258"/>
      <c r="O139" s="259"/>
      <c r="P139" s="260"/>
      <c r="Q139" s="260"/>
      <c r="R139" s="260"/>
    </row>
    <row r="140" ht="15.75" customHeight="1">
      <c r="E140" s="251"/>
      <c r="H140" s="252"/>
      <c r="I140" s="253"/>
      <c r="J140" s="254"/>
      <c r="K140" s="255"/>
      <c r="L140" s="256"/>
      <c r="M140" s="257"/>
      <c r="N140" s="258"/>
      <c r="O140" s="259"/>
      <c r="P140" s="260"/>
      <c r="Q140" s="260"/>
      <c r="R140" s="260"/>
    </row>
    <row r="141" ht="15.75" customHeight="1">
      <c r="E141" s="251"/>
      <c r="H141" s="252"/>
      <c r="I141" s="253"/>
      <c r="J141" s="254"/>
      <c r="K141" s="255"/>
      <c r="L141" s="256"/>
      <c r="M141" s="257"/>
      <c r="N141" s="258"/>
      <c r="O141" s="259"/>
      <c r="P141" s="260"/>
      <c r="Q141" s="260"/>
      <c r="R141" s="260"/>
    </row>
    <row r="142" ht="15.75" customHeight="1">
      <c r="E142" s="251"/>
      <c r="H142" s="252"/>
      <c r="I142" s="253"/>
      <c r="J142" s="254"/>
      <c r="K142" s="255"/>
      <c r="L142" s="256"/>
      <c r="M142" s="257"/>
      <c r="N142" s="258"/>
      <c r="O142" s="259"/>
      <c r="P142" s="260"/>
      <c r="Q142" s="260"/>
      <c r="R142" s="260"/>
    </row>
    <row r="143" ht="15.75" customHeight="1">
      <c r="E143" s="251"/>
      <c r="H143" s="252"/>
      <c r="I143" s="253"/>
      <c r="J143" s="254"/>
      <c r="K143" s="255"/>
      <c r="L143" s="256"/>
      <c r="M143" s="257"/>
      <c r="N143" s="258"/>
      <c r="O143" s="259"/>
      <c r="P143" s="260"/>
      <c r="Q143" s="260"/>
      <c r="R143" s="260"/>
    </row>
    <row r="144" ht="15.75" customHeight="1">
      <c r="E144" s="251"/>
      <c r="H144" s="252"/>
      <c r="I144" s="253"/>
      <c r="J144" s="254"/>
      <c r="K144" s="255"/>
      <c r="L144" s="256"/>
      <c r="M144" s="257"/>
      <c r="N144" s="258"/>
      <c r="O144" s="259"/>
      <c r="P144" s="260"/>
      <c r="Q144" s="260"/>
      <c r="R144" s="260"/>
    </row>
    <row r="145" ht="15.75" customHeight="1">
      <c r="E145" s="251"/>
      <c r="H145" s="252"/>
      <c r="I145" s="253"/>
      <c r="J145" s="254"/>
      <c r="K145" s="255"/>
      <c r="L145" s="256"/>
      <c r="M145" s="257"/>
      <c r="N145" s="258"/>
      <c r="O145" s="259"/>
      <c r="P145" s="260"/>
      <c r="Q145" s="260"/>
      <c r="R145" s="260"/>
    </row>
    <row r="146" ht="15.75" customHeight="1">
      <c r="E146" s="251"/>
      <c r="H146" s="252"/>
      <c r="I146" s="253"/>
      <c r="J146" s="254"/>
      <c r="K146" s="255"/>
      <c r="L146" s="256"/>
      <c r="M146" s="257"/>
      <c r="N146" s="258"/>
      <c r="O146" s="259"/>
      <c r="P146" s="260"/>
      <c r="Q146" s="260"/>
      <c r="R146" s="260"/>
    </row>
    <row r="147" ht="15.75" customHeight="1">
      <c r="E147" s="251"/>
      <c r="H147" s="252"/>
      <c r="I147" s="253"/>
      <c r="J147" s="254"/>
      <c r="K147" s="255"/>
      <c r="L147" s="256"/>
      <c r="M147" s="257"/>
      <c r="N147" s="258"/>
      <c r="O147" s="259"/>
      <c r="P147" s="260"/>
      <c r="Q147" s="260"/>
      <c r="R147" s="260"/>
    </row>
    <row r="148" ht="15.75" customHeight="1">
      <c r="E148" s="251"/>
      <c r="H148" s="252"/>
      <c r="I148" s="253"/>
      <c r="J148" s="254"/>
      <c r="K148" s="255"/>
      <c r="L148" s="256"/>
      <c r="M148" s="257"/>
      <c r="N148" s="258"/>
      <c r="O148" s="259"/>
      <c r="P148" s="260"/>
      <c r="Q148" s="260"/>
      <c r="R148" s="260"/>
    </row>
    <row r="149" ht="15.75" customHeight="1">
      <c r="E149" s="251"/>
      <c r="H149" s="252"/>
      <c r="I149" s="253"/>
      <c r="J149" s="254"/>
      <c r="K149" s="255"/>
      <c r="L149" s="256"/>
      <c r="M149" s="257"/>
      <c r="N149" s="258"/>
      <c r="O149" s="259"/>
      <c r="P149" s="260"/>
      <c r="Q149" s="260"/>
      <c r="R149" s="260"/>
    </row>
    <row r="150" ht="15.75" customHeight="1">
      <c r="E150" s="251"/>
      <c r="H150" s="252"/>
      <c r="I150" s="253"/>
      <c r="J150" s="254"/>
      <c r="K150" s="255"/>
      <c r="L150" s="256"/>
      <c r="M150" s="257"/>
      <c r="N150" s="258"/>
      <c r="O150" s="259"/>
      <c r="P150" s="260"/>
      <c r="Q150" s="260"/>
      <c r="R150" s="260"/>
    </row>
    <row r="151" ht="15.75" customHeight="1">
      <c r="E151" s="251"/>
      <c r="H151" s="252"/>
      <c r="I151" s="253"/>
      <c r="J151" s="254"/>
      <c r="K151" s="255"/>
      <c r="L151" s="256"/>
      <c r="M151" s="257"/>
      <c r="N151" s="258"/>
      <c r="O151" s="259"/>
      <c r="P151" s="260"/>
      <c r="Q151" s="260"/>
      <c r="R151" s="260"/>
    </row>
    <row r="152" ht="15.75" customHeight="1">
      <c r="E152" s="251"/>
      <c r="H152" s="252"/>
      <c r="I152" s="253"/>
      <c r="J152" s="254"/>
      <c r="K152" s="255"/>
      <c r="L152" s="256"/>
      <c r="M152" s="257"/>
      <c r="N152" s="258"/>
      <c r="O152" s="259"/>
      <c r="P152" s="260"/>
      <c r="Q152" s="260"/>
      <c r="R152" s="260"/>
    </row>
    <row r="153" ht="15.75" customHeight="1">
      <c r="E153" s="251"/>
      <c r="H153" s="252"/>
      <c r="I153" s="253"/>
      <c r="J153" s="254"/>
      <c r="K153" s="255"/>
      <c r="L153" s="256"/>
      <c r="M153" s="257"/>
      <c r="N153" s="258"/>
      <c r="O153" s="259"/>
      <c r="P153" s="260"/>
      <c r="Q153" s="260"/>
      <c r="R153" s="260"/>
    </row>
    <row r="154" ht="15.75" customHeight="1">
      <c r="E154" s="251"/>
      <c r="H154" s="252"/>
      <c r="I154" s="253"/>
      <c r="J154" s="254"/>
      <c r="K154" s="255"/>
      <c r="L154" s="256"/>
      <c r="M154" s="257"/>
      <c r="N154" s="258"/>
      <c r="O154" s="259"/>
      <c r="P154" s="260"/>
      <c r="Q154" s="260"/>
      <c r="R154" s="260"/>
    </row>
    <row r="155" ht="15.75" customHeight="1">
      <c r="E155" s="251"/>
      <c r="H155" s="252"/>
      <c r="I155" s="253"/>
      <c r="J155" s="254"/>
      <c r="K155" s="255"/>
      <c r="L155" s="256"/>
      <c r="M155" s="257"/>
      <c r="N155" s="258"/>
      <c r="O155" s="259"/>
      <c r="P155" s="260"/>
      <c r="Q155" s="260"/>
      <c r="R155" s="260"/>
    </row>
    <row r="156" ht="15.75" customHeight="1">
      <c r="E156" s="251"/>
      <c r="H156" s="252"/>
      <c r="I156" s="253"/>
      <c r="J156" s="254"/>
      <c r="K156" s="255"/>
      <c r="L156" s="256"/>
      <c r="M156" s="257"/>
      <c r="N156" s="258"/>
      <c r="O156" s="259"/>
      <c r="P156" s="260"/>
      <c r="Q156" s="260"/>
      <c r="R156" s="260"/>
    </row>
    <row r="157" ht="15.75" customHeight="1">
      <c r="E157" s="251"/>
      <c r="H157" s="252"/>
      <c r="I157" s="253"/>
      <c r="J157" s="254"/>
      <c r="K157" s="255"/>
      <c r="L157" s="256"/>
      <c r="M157" s="257"/>
      <c r="N157" s="258"/>
      <c r="O157" s="259"/>
      <c r="P157" s="260"/>
      <c r="Q157" s="260"/>
      <c r="R157" s="260"/>
    </row>
    <row r="158" ht="15.75" customHeight="1">
      <c r="E158" s="251"/>
      <c r="H158" s="252"/>
      <c r="I158" s="253"/>
      <c r="J158" s="254"/>
      <c r="K158" s="255"/>
      <c r="L158" s="256"/>
      <c r="M158" s="257"/>
      <c r="N158" s="258"/>
      <c r="O158" s="259"/>
      <c r="P158" s="260"/>
      <c r="Q158" s="260"/>
      <c r="R158" s="260"/>
    </row>
    <row r="159" ht="15.75" customHeight="1">
      <c r="E159" s="251"/>
      <c r="H159" s="252"/>
      <c r="I159" s="253"/>
      <c r="J159" s="254"/>
      <c r="K159" s="255"/>
      <c r="L159" s="256"/>
      <c r="M159" s="257"/>
      <c r="N159" s="258"/>
      <c r="O159" s="259"/>
      <c r="P159" s="260"/>
      <c r="Q159" s="260"/>
      <c r="R159" s="260"/>
    </row>
    <row r="160" ht="15.75" customHeight="1">
      <c r="E160" s="251"/>
      <c r="H160" s="252"/>
      <c r="I160" s="253"/>
      <c r="J160" s="254"/>
      <c r="K160" s="255"/>
      <c r="L160" s="256"/>
      <c r="M160" s="257"/>
      <c r="N160" s="258"/>
      <c r="O160" s="259"/>
      <c r="P160" s="260"/>
      <c r="Q160" s="260"/>
      <c r="R160" s="260"/>
    </row>
    <row r="161" ht="15.75" customHeight="1">
      <c r="E161" s="251"/>
      <c r="H161" s="252"/>
      <c r="I161" s="253"/>
      <c r="J161" s="254"/>
      <c r="K161" s="255"/>
      <c r="L161" s="256"/>
      <c r="M161" s="257"/>
      <c r="N161" s="258"/>
      <c r="O161" s="259"/>
      <c r="P161" s="260"/>
      <c r="Q161" s="260"/>
      <c r="R161" s="260"/>
    </row>
    <row r="162" ht="15.75" customHeight="1">
      <c r="E162" s="251"/>
      <c r="H162" s="252"/>
      <c r="I162" s="253"/>
      <c r="J162" s="254"/>
      <c r="K162" s="255"/>
      <c r="L162" s="256"/>
      <c r="M162" s="257"/>
      <c r="N162" s="258"/>
      <c r="O162" s="259"/>
      <c r="P162" s="260"/>
      <c r="Q162" s="260"/>
      <c r="R162" s="260"/>
    </row>
    <row r="163" ht="15.75" customHeight="1">
      <c r="E163" s="251"/>
      <c r="H163" s="252"/>
      <c r="I163" s="253"/>
      <c r="J163" s="254"/>
      <c r="K163" s="255"/>
      <c r="L163" s="256"/>
      <c r="M163" s="257"/>
      <c r="N163" s="258"/>
      <c r="O163" s="259"/>
      <c r="P163" s="260"/>
      <c r="Q163" s="260"/>
      <c r="R163" s="260"/>
    </row>
    <row r="164" ht="15.75" customHeight="1">
      <c r="E164" s="251"/>
      <c r="H164" s="252"/>
      <c r="I164" s="253"/>
      <c r="J164" s="254"/>
      <c r="K164" s="255"/>
      <c r="L164" s="256"/>
      <c r="M164" s="257"/>
      <c r="N164" s="258"/>
      <c r="O164" s="259"/>
      <c r="P164" s="260"/>
      <c r="Q164" s="260"/>
      <c r="R164" s="260"/>
    </row>
    <row r="165" ht="15.75" customHeight="1">
      <c r="E165" s="251"/>
      <c r="H165" s="252"/>
      <c r="I165" s="253"/>
      <c r="J165" s="254"/>
      <c r="K165" s="255"/>
      <c r="L165" s="256"/>
      <c r="M165" s="257"/>
      <c r="N165" s="258"/>
      <c r="O165" s="259"/>
      <c r="P165" s="260"/>
      <c r="Q165" s="260"/>
      <c r="R165" s="260"/>
    </row>
    <row r="166" ht="15.75" customHeight="1">
      <c r="E166" s="251"/>
      <c r="H166" s="252"/>
      <c r="I166" s="253"/>
      <c r="J166" s="254"/>
      <c r="K166" s="255"/>
      <c r="L166" s="256"/>
      <c r="M166" s="257"/>
      <c r="N166" s="258"/>
      <c r="O166" s="259"/>
      <c r="P166" s="260"/>
      <c r="Q166" s="260"/>
      <c r="R166" s="260"/>
    </row>
    <row r="167" ht="15.75" customHeight="1">
      <c r="E167" s="251"/>
      <c r="H167" s="252"/>
      <c r="I167" s="253"/>
      <c r="J167" s="254"/>
      <c r="K167" s="255"/>
      <c r="L167" s="256"/>
      <c r="M167" s="257"/>
      <c r="N167" s="258"/>
      <c r="O167" s="259"/>
      <c r="P167" s="260"/>
      <c r="Q167" s="260"/>
      <c r="R167" s="260"/>
    </row>
    <row r="168" ht="15.75" customHeight="1">
      <c r="E168" s="251"/>
      <c r="H168" s="252"/>
      <c r="I168" s="253"/>
      <c r="J168" s="254"/>
      <c r="K168" s="255"/>
      <c r="L168" s="256"/>
      <c r="M168" s="257"/>
      <c r="N168" s="258"/>
      <c r="O168" s="259"/>
      <c r="P168" s="260"/>
      <c r="Q168" s="260"/>
      <c r="R168" s="260"/>
    </row>
    <row r="169" ht="15.75" customHeight="1">
      <c r="E169" s="251"/>
      <c r="H169" s="252"/>
      <c r="I169" s="253"/>
      <c r="J169" s="254"/>
      <c r="K169" s="255"/>
      <c r="L169" s="256"/>
      <c r="M169" s="257"/>
      <c r="N169" s="258"/>
      <c r="O169" s="259"/>
      <c r="P169" s="260"/>
      <c r="Q169" s="260"/>
      <c r="R169" s="260"/>
    </row>
    <row r="170" ht="15.75" customHeight="1">
      <c r="E170" s="251"/>
      <c r="H170" s="252"/>
      <c r="I170" s="253"/>
      <c r="J170" s="254"/>
      <c r="K170" s="255"/>
      <c r="L170" s="256"/>
      <c r="M170" s="257"/>
      <c r="N170" s="258"/>
      <c r="O170" s="259"/>
      <c r="P170" s="260"/>
      <c r="Q170" s="260"/>
      <c r="R170" s="260"/>
    </row>
    <row r="171" ht="15.75" customHeight="1">
      <c r="E171" s="251"/>
      <c r="H171" s="252"/>
      <c r="I171" s="253"/>
      <c r="J171" s="254"/>
      <c r="K171" s="255"/>
      <c r="L171" s="256"/>
      <c r="M171" s="257"/>
      <c r="N171" s="258"/>
      <c r="O171" s="259"/>
      <c r="P171" s="260"/>
      <c r="Q171" s="260"/>
      <c r="R171" s="260"/>
    </row>
    <row r="172" ht="15.75" customHeight="1">
      <c r="E172" s="251"/>
      <c r="H172" s="252"/>
      <c r="I172" s="253"/>
      <c r="J172" s="254"/>
      <c r="K172" s="255"/>
      <c r="L172" s="256"/>
      <c r="M172" s="257"/>
      <c r="N172" s="258"/>
      <c r="O172" s="259"/>
      <c r="P172" s="260"/>
      <c r="Q172" s="260"/>
      <c r="R172" s="260"/>
    </row>
    <row r="173" ht="15.75" customHeight="1">
      <c r="E173" s="251"/>
      <c r="H173" s="252"/>
      <c r="I173" s="253"/>
      <c r="J173" s="254"/>
      <c r="K173" s="255"/>
      <c r="L173" s="256"/>
      <c r="M173" s="257"/>
      <c r="N173" s="258"/>
      <c r="O173" s="259"/>
      <c r="P173" s="260"/>
      <c r="Q173" s="260"/>
      <c r="R173" s="260"/>
    </row>
    <row r="174" ht="15.75" customHeight="1">
      <c r="E174" s="251"/>
      <c r="H174" s="252"/>
      <c r="I174" s="253"/>
      <c r="J174" s="254"/>
      <c r="K174" s="255"/>
      <c r="L174" s="256"/>
      <c r="M174" s="257"/>
      <c r="N174" s="258"/>
      <c r="O174" s="259"/>
      <c r="P174" s="260"/>
      <c r="Q174" s="260"/>
      <c r="R174" s="260"/>
    </row>
    <row r="175" ht="15.75" customHeight="1">
      <c r="E175" s="251"/>
      <c r="H175" s="252"/>
      <c r="I175" s="253"/>
      <c r="J175" s="254"/>
      <c r="K175" s="255"/>
      <c r="L175" s="256"/>
      <c r="M175" s="257"/>
      <c r="N175" s="258"/>
      <c r="O175" s="259"/>
      <c r="P175" s="260"/>
      <c r="Q175" s="260"/>
      <c r="R175" s="260"/>
    </row>
    <row r="176" ht="15.75" customHeight="1">
      <c r="E176" s="251"/>
      <c r="H176" s="252"/>
      <c r="I176" s="253"/>
      <c r="J176" s="254"/>
      <c r="K176" s="255"/>
      <c r="L176" s="256"/>
      <c r="M176" s="257"/>
      <c r="N176" s="258"/>
      <c r="O176" s="259"/>
      <c r="P176" s="260"/>
      <c r="Q176" s="260"/>
      <c r="R176" s="260"/>
    </row>
    <row r="177" ht="15.75" customHeight="1">
      <c r="E177" s="251"/>
      <c r="H177" s="252"/>
      <c r="I177" s="253"/>
      <c r="J177" s="254"/>
      <c r="K177" s="255"/>
      <c r="L177" s="256"/>
      <c r="M177" s="257"/>
      <c r="N177" s="258"/>
      <c r="O177" s="259"/>
      <c r="P177" s="260"/>
      <c r="Q177" s="260"/>
      <c r="R177" s="260"/>
    </row>
    <row r="178" ht="15.75" customHeight="1">
      <c r="E178" s="251"/>
      <c r="H178" s="252"/>
      <c r="I178" s="253"/>
      <c r="J178" s="254"/>
      <c r="K178" s="255"/>
      <c r="L178" s="256"/>
      <c r="M178" s="257"/>
      <c r="N178" s="258"/>
      <c r="O178" s="259"/>
      <c r="P178" s="260"/>
      <c r="Q178" s="260"/>
      <c r="R178" s="260"/>
    </row>
    <row r="179" ht="15.75" customHeight="1">
      <c r="E179" s="251"/>
      <c r="H179" s="252"/>
      <c r="I179" s="253"/>
      <c r="J179" s="254"/>
      <c r="K179" s="255"/>
      <c r="L179" s="256"/>
      <c r="M179" s="257"/>
      <c r="N179" s="258"/>
      <c r="O179" s="259"/>
      <c r="P179" s="260"/>
      <c r="Q179" s="260"/>
      <c r="R179" s="260"/>
    </row>
    <row r="180" ht="15.75" customHeight="1">
      <c r="E180" s="251"/>
      <c r="H180" s="252"/>
      <c r="I180" s="253"/>
      <c r="J180" s="254"/>
      <c r="K180" s="255"/>
      <c r="L180" s="256"/>
      <c r="M180" s="257"/>
      <c r="N180" s="258"/>
      <c r="O180" s="259"/>
      <c r="P180" s="260"/>
      <c r="Q180" s="260"/>
      <c r="R180" s="260"/>
    </row>
    <row r="181" ht="15.75" customHeight="1">
      <c r="E181" s="251"/>
      <c r="H181" s="252"/>
      <c r="I181" s="253"/>
      <c r="J181" s="254"/>
      <c r="K181" s="255"/>
      <c r="L181" s="256"/>
      <c r="M181" s="257"/>
      <c r="N181" s="258"/>
      <c r="O181" s="259"/>
      <c r="P181" s="260"/>
      <c r="Q181" s="260"/>
      <c r="R181" s="260"/>
    </row>
    <row r="182" ht="15.75" customHeight="1">
      <c r="E182" s="251"/>
      <c r="H182" s="252"/>
      <c r="I182" s="253"/>
      <c r="J182" s="254"/>
      <c r="K182" s="255"/>
      <c r="L182" s="256"/>
      <c r="M182" s="257"/>
      <c r="N182" s="258"/>
      <c r="O182" s="259"/>
      <c r="P182" s="260"/>
      <c r="Q182" s="260"/>
      <c r="R182" s="260"/>
    </row>
    <row r="183" ht="15.75" customHeight="1">
      <c r="E183" s="251"/>
      <c r="H183" s="252"/>
      <c r="I183" s="253"/>
      <c r="J183" s="254"/>
      <c r="K183" s="255"/>
      <c r="L183" s="256"/>
      <c r="M183" s="257"/>
      <c r="N183" s="258"/>
      <c r="O183" s="259"/>
      <c r="P183" s="260"/>
      <c r="Q183" s="260"/>
      <c r="R183" s="260"/>
    </row>
    <row r="184" ht="15.75" customHeight="1">
      <c r="E184" s="251"/>
      <c r="H184" s="252"/>
      <c r="I184" s="253"/>
      <c r="J184" s="254"/>
      <c r="K184" s="255"/>
      <c r="L184" s="256"/>
      <c r="M184" s="257"/>
      <c r="N184" s="258"/>
      <c r="O184" s="259"/>
      <c r="P184" s="260"/>
      <c r="Q184" s="260"/>
      <c r="R184" s="260"/>
    </row>
    <row r="185" ht="15.75" customHeight="1">
      <c r="E185" s="251"/>
      <c r="H185" s="252"/>
      <c r="I185" s="253"/>
      <c r="J185" s="254"/>
      <c r="K185" s="255"/>
      <c r="L185" s="256"/>
      <c r="M185" s="257"/>
      <c r="N185" s="258"/>
      <c r="O185" s="259"/>
      <c r="P185" s="260"/>
      <c r="Q185" s="260"/>
      <c r="R185" s="260"/>
    </row>
    <row r="186" ht="15.75" customHeight="1">
      <c r="E186" s="251"/>
      <c r="H186" s="252"/>
      <c r="I186" s="253"/>
      <c r="J186" s="254"/>
      <c r="K186" s="255"/>
      <c r="L186" s="256"/>
      <c r="M186" s="257"/>
      <c r="N186" s="258"/>
      <c r="O186" s="259"/>
      <c r="P186" s="260"/>
      <c r="Q186" s="260"/>
      <c r="R186" s="260"/>
    </row>
    <row r="187" ht="15.75" customHeight="1">
      <c r="E187" s="251"/>
      <c r="H187" s="252"/>
      <c r="I187" s="253"/>
      <c r="J187" s="254"/>
      <c r="K187" s="255"/>
      <c r="L187" s="256"/>
      <c r="M187" s="257"/>
      <c r="N187" s="258"/>
      <c r="O187" s="259"/>
      <c r="P187" s="260"/>
      <c r="Q187" s="260"/>
      <c r="R187" s="260"/>
    </row>
    <row r="188" ht="15.75" customHeight="1">
      <c r="E188" s="251"/>
      <c r="H188" s="252"/>
      <c r="I188" s="253"/>
      <c r="J188" s="254"/>
      <c r="K188" s="255"/>
      <c r="L188" s="256"/>
      <c r="M188" s="257"/>
      <c r="N188" s="258"/>
      <c r="O188" s="259"/>
      <c r="P188" s="260"/>
      <c r="Q188" s="260"/>
      <c r="R188" s="260"/>
    </row>
    <row r="189" ht="15.75" customHeight="1">
      <c r="E189" s="251"/>
      <c r="H189" s="252"/>
      <c r="I189" s="253"/>
      <c r="J189" s="254"/>
      <c r="K189" s="255"/>
      <c r="L189" s="256"/>
      <c r="M189" s="257"/>
      <c r="N189" s="258"/>
      <c r="O189" s="259"/>
      <c r="P189" s="260"/>
      <c r="Q189" s="260"/>
      <c r="R189" s="260"/>
    </row>
    <row r="190" ht="15.75" customHeight="1">
      <c r="E190" s="251"/>
      <c r="H190" s="252"/>
      <c r="I190" s="253"/>
      <c r="J190" s="254"/>
      <c r="K190" s="255"/>
      <c r="L190" s="256"/>
      <c r="M190" s="257"/>
      <c r="N190" s="258"/>
      <c r="O190" s="259"/>
      <c r="P190" s="260"/>
      <c r="Q190" s="260"/>
      <c r="R190" s="260"/>
    </row>
    <row r="191" ht="15.75" customHeight="1">
      <c r="E191" s="251"/>
      <c r="H191" s="252"/>
      <c r="I191" s="253"/>
      <c r="J191" s="254"/>
      <c r="K191" s="255"/>
      <c r="L191" s="256"/>
      <c r="M191" s="257"/>
      <c r="N191" s="258"/>
      <c r="O191" s="259"/>
      <c r="P191" s="260"/>
      <c r="Q191" s="260"/>
      <c r="R191" s="260"/>
    </row>
    <row r="192" ht="15.75" customHeight="1">
      <c r="E192" s="251"/>
      <c r="H192" s="252"/>
      <c r="I192" s="253"/>
      <c r="J192" s="254"/>
      <c r="K192" s="255"/>
      <c r="L192" s="256"/>
      <c r="M192" s="257"/>
      <c r="N192" s="258"/>
      <c r="O192" s="259"/>
      <c r="P192" s="260"/>
      <c r="Q192" s="260"/>
      <c r="R192" s="260"/>
    </row>
    <row r="193" ht="15.75" customHeight="1">
      <c r="E193" s="251"/>
      <c r="H193" s="252"/>
      <c r="I193" s="253"/>
      <c r="J193" s="254"/>
      <c r="K193" s="255"/>
      <c r="L193" s="256"/>
      <c r="M193" s="257"/>
      <c r="N193" s="258"/>
      <c r="O193" s="259"/>
      <c r="P193" s="260"/>
      <c r="Q193" s="260"/>
      <c r="R193" s="260"/>
    </row>
    <row r="194" ht="15.75" customHeight="1">
      <c r="E194" s="251"/>
      <c r="H194" s="252"/>
      <c r="I194" s="253"/>
      <c r="J194" s="254"/>
      <c r="K194" s="255"/>
      <c r="L194" s="256"/>
      <c r="M194" s="257"/>
      <c r="N194" s="258"/>
      <c r="O194" s="259"/>
      <c r="P194" s="260"/>
      <c r="Q194" s="260"/>
      <c r="R194" s="260"/>
    </row>
    <row r="195" ht="15.75" customHeight="1">
      <c r="E195" s="251"/>
      <c r="H195" s="252"/>
      <c r="I195" s="253"/>
      <c r="J195" s="254"/>
      <c r="K195" s="255"/>
      <c r="L195" s="256"/>
      <c r="M195" s="257"/>
      <c r="N195" s="258"/>
      <c r="O195" s="259"/>
      <c r="P195" s="260"/>
      <c r="Q195" s="260"/>
      <c r="R195" s="260"/>
    </row>
    <row r="196" ht="15.75" customHeight="1">
      <c r="E196" s="251"/>
      <c r="H196" s="252"/>
      <c r="I196" s="253"/>
      <c r="J196" s="254"/>
      <c r="K196" s="255"/>
      <c r="L196" s="256"/>
      <c r="M196" s="257"/>
      <c r="N196" s="258"/>
      <c r="O196" s="259"/>
      <c r="P196" s="260"/>
      <c r="Q196" s="260"/>
      <c r="R196" s="260"/>
    </row>
    <row r="197" ht="15.75" customHeight="1">
      <c r="E197" s="251"/>
      <c r="H197" s="252"/>
      <c r="I197" s="253"/>
      <c r="J197" s="254"/>
      <c r="K197" s="255"/>
      <c r="L197" s="256"/>
      <c r="M197" s="257"/>
      <c r="N197" s="258"/>
      <c r="O197" s="259"/>
      <c r="P197" s="260"/>
      <c r="Q197" s="260"/>
      <c r="R197" s="260"/>
    </row>
    <row r="198" ht="15.75" customHeight="1">
      <c r="E198" s="251"/>
      <c r="H198" s="252"/>
      <c r="I198" s="253"/>
      <c r="J198" s="254"/>
      <c r="K198" s="255"/>
      <c r="L198" s="256"/>
      <c r="M198" s="257"/>
      <c r="N198" s="258"/>
      <c r="O198" s="259"/>
      <c r="P198" s="260"/>
      <c r="Q198" s="260"/>
      <c r="R198" s="260"/>
    </row>
    <row r="199" ht="15.75" customHeight="1">
      <c r="E199" s="251"/>
      <c r="H199" s="252"/>
      <c r="I199" s="253"/>
      <c r="J199" s="254"/>
      <c r="K199" s="255"/>
      <c r="L199" s="256"/>
      <c r="M199" s="257"/>
      <c r="N199" s="258"/>
      <c r="O199" s="259"/>
      <c r="P199" s="260"/>
      <c r="Q199" s="260"/>
      <c r="R199" s="260"/>
    </row>
    <row r="200" ht="15.75" customHeight="1">
      <c r="E200" s="251"/>
      <c r="H200" s="252"/>
      <c r="I200" s="253"/>
      <c r="J200" s="254"/>
      <c r="K200" s="255"/>
      <c r="L200" s="256"/>
      <c r="M200" s="257"/>
      <c r="N200" s="258"/>
      <c r="O200" s="259"/>
      <c r="P200" s="260"/>
      <c r="Q200" s="260"/>
      <c r="R200" s="260"/>
    </row>
    <row r="201" ht="15.75" customHeight="1">
      <c r="E201" s="251"/>
      <c r="H201" s="252"/>
      <c r="I201" s="253"/>
      <c r="J201" s="254"/>
      <c r="K201" s="255"/>
      <c r="L201" s="256"/>
      <c r="M201" s="257"/>
      <c r="N201" s="258"/>
      <c r="O201" s="259"/>
      <c r="P201" s="260"/>
      <c r="Q201" s="260"/>
      <c r="R201" s="260"/>
    </row>
    <row r="202" ht="15.75" customHeight="1">
      <c r="E202" s="251"/>
      <c r="H202" s="252"/>
      <c r="I202" s="253"/>
      <c r="J202" s="254"/>
      <c r="K202" s="255"/>
      <c r="L202" s="256"/>
      <c r="M202" s="257"/>
      <c r="N202" s="258"/>
      <c r="O202" s="259"/>
      <c r="P202" s="260"/>
      <c r="Q202" s="260"/>
      <c r="R202" s="260"/>
    </row>
    <row r="203" ht="15.75" customHeight="1">
      <c r="E203" s="251"/>
      <c r="H203" s="252"/>
      <c r="I203" s="253"/>
      <c r="J203" s="254"/>
      <c r="K203" s="255"/>
      <c r="L203" s="256"/>
      <c r="M203" s="257"/>
      <c r="N203" s="258"/>
      <c r="O203" s="259"/>
      <c r="P203" s="260"/>
      <c r="Q203" s="260"/>
      <c r="R203" s="260"/>
    </row>
    <row r="204" ht="15.75" customHeight="1">
      <c r="E204" s="251"/>
      <c r="H204" s="252"/>
      <c r="I204" s="253"/>
      <c r="J204" s="254"/>
      <c r="K204" s="255"/>
      <c r="L204" s="256"/>
      <c r="M204" s="257"/>
      <c r="N204" s="258"/>
      <c r="O204" s="259"/>
      <c r="P204" s="260"/>
      <c r="Q204" s="260"/>
      <c r="R204" s="260"/>
    </row>
    <row r="205" ht="15.75" customHeight="1">
      <c r="E205" s="251"/>
      <c r="H205" s="252"/>
      <c r="I205" s="253"/>
      <c r="J205" s="254"/>
      <c r="K205" s="255"/>
      <c r="L205" s="256"/>
      <c r="M205" s="257"/>
      <c r="N205" s="258"/>
      <c r="O205" s="259"/>
      <c r="P205" s="260"/>
      <c r="Q205" s="260"/>
      <c r="R205" s="260"/>
    </row>
    <row r="206" ht="15.75" customHeight="1">
      <c r="E206" s="251"/>
      <c r="H206" s="252"/>
      <c r="I206" s="253"/>
      <c r="J206" s="254"/>
      <c r="K206" s="255"/>
      <c r="L206" s="256"/>
      <c r="M206" s="257"/>
      <c r="N206" s="258"/>
      <c r="O206" s="259"/>
      <c r="P206" s="260"/>
      <c r="Q206" s="260"/>
      <c r="R206" s="260"/>
    </row>
    <row r="207" ht="15.75" customHeight="1">
      <c r="E207" s="251"/>
      <c r="H207" s="252"/>
      <c r="I207" s="253"/>
      <c r="J207" s="254"/>
      <c r="K207" s="255"/>
      <c r="L207" s="256"/>
      <c r="M207" s="257"/>
      <c r="N207" s="258"/>
      <c r="O207" s="259"/>
      <c r="P207" s="260"/>
      <c r="Q207" s="260"/>
      <c r="R207" s="260"/>
    </row>
    <row r="208" ht="15.75" customHeight="1">
      <c r="E208" s="251"/>
      <c r="H208" s="252"/>
      <c r="I208" s="253"/>
      <c r="J208" s="254"/>
      <c r="K208" s="255"/>
      <c r="L208" s="256"/>
      <c r="M208" s="257"/>
      <c r="N208" s="258"/>
      <c r="O208" s="259"/>
      <c r="P208" s="260"/>
      <c r="Q208" s="260"/>
      <c r="R208" s="260"/>
    </row>
    <row r="209" ht="15.75" customHeight="1">
      <c r="E209" s="251"/>
      <c r="H209" s="252"/>
      <c r="I209" s="253"/>
      <c r="J209" s="254"/>
      <c r="K209" s="255"/>
      <c r="L209" s="256"/>
      <c r="M209" s="257"/>
      <c r="N209" s="258"/>
      <c r="O209" s="259"/>
      <c r="P209" s="260"/>
      <c r="Q209" s="260"/>
      <c r="R209" s="260"/>
    </row>
    <row r="210" ht="15.75" customHeight="1">
      <c r="E210" s="251"/>
      <c r="H210" s="252"/>
      <c r="I210" s="253"/>
      <c r="J210" s="254"/>
      <c r="K210" s="255"/>
      <c r="L210" s="256"/>
      <c r="M210" s="257"/>
      <c r="N210" s="258"/>
      <c r="O210" s="259"/>
      <c r="P210" s="260"/>
      <c r="Q210" s="260"/>
      <c r="R210" s="260"/>
    </row>
    <row r="211" ht="15.75" customHeight="1">
      <c r="E211" s="251"/>
      <c r="H211" s="252"/>
      <c r="I211" s="253"/>
      <c r="J211" s="254"/>
      <c r="K211" s="255"/>
      <c r="L211" s="256"/>
      <c r="M211" s="257"/>
      <c r="N211" s="258"/>
      <c r="O211" s="259"/>
      <c r="P211" s="260"/>
      <c r="Q211" s="260"/>
      <c r="R211" s="260"/>
    </row>
    <row r="212" ht="15.75" customHeight="1">
      <c r="E212" s="251"/>
      <c r="H212" s="252"/>
      <c r="I212" s="253"/>
      <c r="J212" s="254"/>
      <c r="K212" s="255"/>
      <c r="L212" s="256"/>
      <c r="M212" s="257"/>
      <c r="N212" s="258"/>
      <c r="O212" s="259"/>
      <c r="P212" s="260"/>
      <c r="Q212" s="260"/>
      <c r="R212" s="260"/>
    </row>
    <row r="213" ht="15.75" customHeight="1">
      <c r="E213" s="251"/>
      <c r="H213" s="252"/>
      <c r="I213" s="253"/>
      <c r="J213" s="254"/>
      <c r="K213" s="255"/>
      <c r="L213" s="256"/>
      <c r="M213" s="257"/>
      <c r="N213" s="258"/>
      <c r="O213" s="259"/>
      <c r="P213" s="260"/>
      <c r="Q213" s="260"/>
      <c r="R213" s="260"/>
    </row>
    <row r="214" ht="15.75" customHeight="1">
      <c r="E214" s="251"/>
      <c r="H214" s="252"/>
      <c r="I214" s="253"/>
      <c r="J214" s="254"/>
      <c r="K214" s="255"/>
      <c r="L214" s="256"/>
      <c r="M214" s="257"/>
      <c r="N214" s="258"/>
      <c r="O214" s="259"/>
      <c r="P214" s="260"/>
      <c r="Q214" s="260"/>
      <c r="R214" s="260"/>
    </row>
    <row r="215" ht="15.75" customHeight="1">
      <c r="E215" s="251"/>
      <c r="H215" s="252"/>
      <c r="I215" s="253"/>
      <c r="J215" s="254"/>
      <c r="K215" s="255"/>
      <c r="L215" s="256"/>
      <c r="M215" s="257"/>
      <c r="N215" s="258"/>
      <c r="O215" s="259"/>
      <c r="P215" s="260"/>
      <c r="Q215" s="260"/>
      <c r="R215" s="260"/>
    </row>
    <row r="216" ht="15.75" customHeight="1">
      <c r="E216" s="251"/>
      <c r="H216" s="252"/>
      <c r="I216" s="253"/>
      <c r="J216" s="254"/>
      <c r="K216" s="255"/>
      <c r="L216" s="256"/>
      <c r="M216" s="257"/>
      <c r="N216" s="258"/>
      <c r="O216" s="259"/>
      <c r="P216" s="260"/>
      <c r="Q216" s="260"/>
      <c r="R216" s="260"/>
    </row>
    <row r="217" ht="15.75" customHeight="1">
      <c r="E217" s="251"/>
      <c r="H217" s="252"/>
      <c r="I217" s="253"/>
      <c r="J217" s="254"/>
      <c r="K217" s="255"/>
      <c r="L217" s="256"/>
      <c r="M217" s="257"/>
      <c r="N217" s="258"/>
      <c r="O217" s="259"/>
      <c r="P217" s="260"/>
      <c r="Q217" s="260"/>
      <c r="R217" s="260"/>
    </row>
    <row r="218" ht="15.75" customHeight="1">
      <c r="E218" s="251"/>
      <c r="H218" s="252"/>
      <c r="I218" s="253"/>
      <c r="J218" s="254"/>
      <c r="K218" s="255"/>
      <c r="L218" s="256"/>
      <c r="M218" s="257"/>
      <c r="N218" s="258"/>
      <c r="O218" s="259"/>
      <c r="P218" s="260"/>
      <c r="Q218" s="260"/>
      <c r="R218" s="260"/>
    </row>
    <row r="219" ht="15.75" customHeight="1">
      <c r="E219" s="251"/>
      <c r="H219" s="252"/>
      <c r="I219" s="253"/>
      <c r="J219" s="254"/>
      <c r="K219" s="255"/>
      <c r="L219" s="256"/>
      <c r="M219" s="257"/>
      <c r="N219" s="258"/>
      <c r="O219" s="259"/>
      <c r="P219" s="260"/>
      <c r="Q219" s="260"/>
      <c r="R219" s="260"/>
    </row>
    <row r="220" ht="15.75" customHeight="1">
      <c r="E220" s="251"/>
      <c r="H220" s="252"/>
      <c r="I220" s="253"/>
      <c r="J220" s="254"/>
      <c r="K220" s="255"/>
      <c r="L220" s="256"/>
      <c r="M220" s="257"/>
      <c r="N220" s="258"/>
      <c r="O220" s="259"/>
      <c r="P220" s="260"/>
      <c r="Q220" s="260"/>
      <c r="R220" s="260"/>
    </row>
    <row r="221" ht="15.75" customHeight="1">
      <c r="E221" s="251"/>
      <c r="H221" s="252"/>
      <c r="I221" s="253"/>
      <c r="J221" s="254"/>
      <c r="K221" s="255"/>
      <c r="L221" s="256"/>
      <c r="M221" s="257"/>
      <c r="N221" s="258"/>
      <c r="O221" s="259"/>
      <c r="P221" s="260"/>
      <c r="Q221" s="260"/>
      <c r="R221" s="260"/>
    </row>
    <row r="222" ht="15.75" customHeight="1">
      <c r="E222" s="251"/>
      <c r="H222" s="252"/>
      <c r="I222" s="253"/>
      <c r="J222" s="254"/>
      <c r="K222" s="255"/>
      <c r="L222" s="256"/>
      <c r="M222" s="257"/>
      <c r="N222" s="258"/>
      <c r="O222" s="259"/>
      <c r="P222" s="260"/>
      <c r="Q222" s="260"/>
      <c r="R222" s="260"/>
    </row>
    <row r="223" ht="15.75" customHeight="1">
      <c r="E223" s="251"/>
      <c r="H223" s="252"/>
      <c r="I223" s="253"/>
      <c r="J223" s="254"/>
      <c r="K223" s="255"/>
      <c r="L223" s="256"/>
      <c r="M223" s="257"/>
      <c r="N223" s="258"/>
      <c r="O223" s="259"/>
      <c r="P223" s="260"/>
      <c r="Q223" s="260"/>
      <c r="R223" s="260"/>
    </row>
    <row r="224" ht="15.75" customHeight="1">
      <c r="E224" s="251"/>
      <c r="H224" s="252"/>
      <c r="I224" s="253"/>
      <c r="J224" s="254"/>
      <c r="K224" s="255"/>
      <c r="L224" s="256"/>
      <c r="M224" s="257"/>
      <c r="N224" s="258"/>
      <c r="O224" s="259"/>
      <c r="P224" s="260"/>
      <c r="Q224" s="260"/>
      <c r="R224" s="260"/>
    </row>
    <row r="225" ht="15.75" customHeight="1">
      <c r="E225" s="251"/>
      <c r="H225" s="252"/>
      <c r="I225" s="253"/>
      <c r="J225" s="254"/>
      <c r="K225" s="255"/>
      <c r="L225" s="256"/>
      <c r="M225" s="257"/>
      <c r="N225" s="258"/>
      <c r="O225" s="259"/>
      <c r="P225" s="260"/>
      <c r="Q225" s="260"/>
      <c r="R225" s="260"/>
    </row>
    <row r="226" ht="15.75" customHeight="1">
      <c r="E226" s="251"/>
      <c r="H226" s="252"/>
      <c r="I226" s="253"/>
      <c r="J226" s="254"/>
      <c r="K226" s="255"/>
      <c r="L226" s="256"/>
      <c r="M226" s="257"/>
      <c r="N226" s="258"/>
      <c r="O226" s="259"/>
      <c r="P226" s="260"/>
      <c r="Q226" s="260"/>
      <c r="R226" s="260"/>
    </row>
    <row r="227" ht="15.75" customHeight="1">
      <c r="E227" s="251"/>
      <c r="H227" s="252"/>
      <c r="I227" s="253"/>
      <c r="J227" s="254"/>
      <c r="K227" s="255"/>
      <c r="L227" s="256"/>
      <c r="M227" s="257"/>
      <c r="N227" s="258"/>
      <c r="O227" s="259"/>
      <c r="P227" s="260"/>
      <c r="Q227" s="260"/>
      <c r="R227" s="260"/>
    </row>
    <row r="228" ht="15.75" customHeight="1">
      <c r="E228" s="251"/>
      <c r="H228" s="252"/>
      <c r="I228" s="253"/>
      <c r="J228" s="254"/>
      <c r="K228" s="255"/>
      <c r="L228" s="256"/>
      <c r="M228" s="257"/>
      <c r="N228" s="258"/>
      <c r="O228" s="259"/>
      <c r="P228" s="260"/>
      <c r="Q228" s="260"/>
      <c r="R228" s="260"/>
    </row>
    <row r="229" ht="15.75" customHeight="1">
      <c r="E229" s="251"/>
      <c r="H229" s="252"/>
      <c r="I229" s="253"/>
      <c r="J229" s="254"/>
      <c r="K229" s="255"/>
      <c r="L229" s="256"/>
      <c r="M229" s="257"/>
      <c r="N229" s="258"/>
      <c r="O229" s="259"/>
      <c r="P229" s="260"/>
      <c r="Q229" s="260"/>
      <c r="R229" s="260"/>
    </row>
    <row r="230" ht="15.75" customHeight="1">
      <c r="E230" s="251"/>
      <c r="H230" s="252"/>
      <c r="I230" s="253"/>
      <c r="J230" s="254"/>
      <c r="K230" s="255"/>
      <c r="L230" s="256"/>
      <c r="M230" s="257"/>
      <c r="N230" s="258"/>
      <c r="O230" s="259"/>
      <c r="P230" s="260"/>
      <c r="Q230" s="260"/>
      <c r="R230" s="260"/>
    </row>
    <row r="231" ht="15.75" customHeight="1">
      <c r="E231" s="251"/>
      <c r="H231" s="252"/>
      <c r="I231" s="253"/>
      <c r="J231" s="254"/>
      <c r="K231" s="255"/>
      <c r="L231" s="256"/>
      <c r="M231" s="257"/>
      <c r="N231" s="258"/>
      <c r="O231" s="259"/>
      <c r="P231" s="260"/>
      <c r="Q231" s="260"/>
      <c r="R231" s="260"/>
    </row>
    <row r="232" ht="15.75" customHeight="1">
      <c r="E232" s="251"/>
      <c r="H232" s="252"/>
      <c r="I232" s="253"/>
      <c r="J232" s="254"/>
      <c r="K232" s="255"/>
      <c r="L232" s="256"/>
      <c r="M232" s="257"/>
      <c r="N232" s="258"/>
      <c r="O232" s="259"/>
      <c r="P232" s="260"/>
      <c r="Q232" s="260"/>
      <c r="R232" s="260"/>
    </row>
    <row r="233" ht="15.75" customHeight="1">
      <c r="E233" s="251"/>
      <c r="H233" s="252"/>
      <c r="I233" s="253"/>
      <c r="J233" s="254"/>
      <c r="K233" s="255"/>
      <c r="L233" s="256"/>
      <c r="M233" s="257"/>
      <c r="N233" s="258"/>
      <c r="O233" s="259"/>
      <c r="P233" s="260"/>
      <c r="Q233" s="260"/>
      <c r="R233" s="260"/>
    </row>
    <row r="234" ht="15.75" customHeight="1">
      <c r="E234" s="251"/>
      <c r="H234" s="252"/>
      <c r="I234" s="253"/>
      <c r="J234" s="254"/>
      <c r="K234" s="255"/>
      <c r="L234" s="256"/>
      <c r="M234" s="257"/>
      <c r="N234" s="258"/>
      <c r="O234" s="259"/>
      <c r="P234" s="260"/>
      <c r="Q234" s="260"/>
      <c r="R234" s="260"/>
    </row>
    <row r="235" ht="15.75" customHeight="1">
      <c r="E235" s="251"/>
      <c r="H235" s="252"/>
      <c r="I235" s="253"/>
      <c r="J235" s="254"/>
      <c r="K235" s="255"/>
      <c r="L235" s="256"/>
      <c r="M235" s="257"/>
      <c r="N235" s="258"/>
      <c r="O235" s="259"/>
      <c r="P235" s="260"/>
      <c r="Q235" s="260"/>
      <c r="R235" s="260"/>
    </row>
    <row r="236" ht="15.75" customHeight="1">
      <c r="E236" s="251"/>
      <c r="H236" s="252"/>
      <c r="I236" s="253"/>
      <c r="J236" s="254"/>
      <c r="K236" s="255"/>
      <c r="L236" s="256"/>
      <c r="M236" s="257"/>
      <c r="N236" s="258"/>
      <c r="O236" s="259"/>
      <c r="P236" s="260"/>
      <c r="Q236" s="260"/>
      <c r="R236" s="260"/>
    </row>
    <row r="237" ht="15.75" customHeight="1">
      <c r="E237" s="251"/>
      <c r="H237" s="252"/>
      <c r="I237" s="253"/>
      <c r="J237" s="254"/>
      <c r="K237" s="255"/>
      <c r="L237" s="256"/>
      <c r="M237" s="257"/>
      <c r="N237" s="258"/>
      <c r="O237" s="259"/>
      <c r="P237" s="260"/>
      <c r="Q237" s="260"/>
      <c r="R237" s="260"/>
    </row>
    <row r="238" ht="15.75" customHeight="1">
      <c r="E238" s="251"/>
      <c r="H238" s="252"/>
      <c r="I238" s="253"/>
      <c r="J238" s="254"/>
      <c r="K238" s="255"/>
      <c r="L238" s="256"/>
      <c r="M238" s="257"/>
      <c r="N238" s="258"/>
      <c r="O238" s="259"/>
      <c r="P238" s="260"/>
      <c r="Q238" s="260"/>
      <c r="R238" s="260"/>
    </row>
    <row r="239" ht="15.75" customHeight="1">
      <c r="E239" s="251"/>
      <c r="H239" s="252"/>
      <c r="I239" s="253"/>
      <c r="J239" s="254"/>
      <c r="K239" s="255"/>
      <c r="L239" s="256"/>
      <c r="M239" s="257"/>
      <c r="N239" s="258"/>
      <c r="O239" s="259"/>
      <c r="P239" s="260"/>
      <c r="Q239" s="260"/>
      <c r="R239" s="260"/>
    </row>
    <row r="240" ht="15.75" customHeight="1">
      <c r="E240" s="251"/>
      <c r="H240" s="252"/>
      <c r="I240" s="253"/>
      <c r="J240" s="254"/>
      <c r="K240" s="255"/>
      <c r="L240" s="256"/>
      <c r="M240" s="257"/>
      <c r="N240" s="258"/>
      <c r="O240" s="259"/>
      <c r="P240" s="260"/>
      <c r="Q240" s="260"/>
      <c r="R240" s="260"/>
    </row>
    <row r="241" ht="15.75" customHeight="1">
      <c r="E241" s="251"/>
      <c r="H241" s="252"/>
      <c r="I241" s="253"/>
      <c r="J241" s="254"/>
      <c r="K241" s="255"/>
      <c r="L241" s="256"/>
      <c r="M241" s="257"/>
      <c r="N241" s="258"/>
      <c r="O241" s="259"/>
      <c r="P241" s="260"/>
      <c r="Q241" s="260"/>
      <c r="R241" s="260"/>
    </row>
    <row r="242" ht="15.75" customHeight="1">
      <c r="E242" s="251"/>
      <c r="H242" s="252"/>
      <c r="I242" s="253"/>
      <c r="J242" s="254"/>
      <c r="K242" s="255"/>
      <c r="L242" s="256"/>
      <c r="M242" s="257"/>
      <c r="N242" s="258"/>
      <c r="O242" s="259"/>
      <c r="P242" s="260"/>
      <c r="Q242" s="260"/>
      <c r="R242" s="260"/>
    </row>
    <row r="243" ht="15.75" customHeight="1">
      <c r="E243" s="251"/>
      <c r="H243" s="252"/>
      <c r="I243" s="253"/>
      <c r="J243" s="254"/>
      <c r="K243" s="255"/>
      <c r="L243" s="256"/>
      <c r="M243" s="257"/>
      <c r="N243" s="258"/>
      <c r="O243" s="259"/>
      <c r="P243" s="260"/>
      <c r="Q243" s="260"/>
      <c r="R243" s="260"/>
    </row>
    <row r="244" ht="15.75" customHeight="1">
      <c r="E244" s="251"/>
      <c r="H244" s="252"/>
      <c r="I244" s="253"/>
      <c r="J244" s="254"/>
      <c r="K244" s="255"/>
      <c r="L244" s="256"/>
      <c r="M244" s="257"/>
      <c r="N244" s="258"/>
      <c r="O244" s="259"/>
      <c r="P244" s="260"/>
      <c r="Q244" s="260"/>
      <c r="R244" s="260"/>
    </row>
    <row r="245" ht="15.75" customHeight="1">
      <c r="E245" s="251"/>
      <c r="H245" s="252"/>
      <c r="I245" s="253"/>
      <c r="J245" s="254"/>
      <c r="K245" s="255"/>
      <c r="L245" s="256"/>
      <c r="M245" s="257"/>
      <c r="N245" s="258"/>
      <c r="O245" s="259"/>
      <c r="P245" s="260"/>
      <c r="Q245" s="260"/>
      <c r="R245" s="260"/>
    </row>
    <row r="246" ht="15.75" customHeight="1">
      <c r="E246" s="251"/>
      <c r="H246" s="252"/>
      <c r="I246" s="253"/>
      <c r="J246" s="254"/>
      <c r="K246" s="255"/>
      <c r="L246" s="256"/>
      <c r="M246" s="257"/>
      <c r="N246" s="258"/>
      <c r="O246" s="259"/>
      <c r="P246" s="260"/>
      <c r="Q246" s="260"/>
      <c r="R246" s="260"/>
    </row>
    <row r="247" ht="15.75" customHeight="1">
      <c r="E247" s="251"/>
      <c r="H247" s="252"/>
      <c r="I247" s="253"/>
      <c r="J247" s="254"/>
      <c r="K247" s="255"/>
      <c r="L247" s="256"/>
      <c r="M247" s="257"/>
      <c r="N247" s="258"/>
      <c r="O247" s="259"/>
      <c r="P247" s="260"/>
      <c r="Q247" s="260"/>
      <c r="R247" s="260"/>
    </row>
    <row r="248" ht="15.75" customHeight="1">
      <c r="E248" s="251"/>
      <c r="H248" s="252"/>
      <c r="I248" s="253"/>
      <c r="J248" s="254"/>
      <c r="K248" s="255"/>
      <c r="L248" s="256"/>
      <c r="M248" s="257"/>
      <c r="N248" s="258"/>
      <c r="O248" s="259"/>
      <c r="P248" s="260"/>
      <c r="Q248" s="260"/>
      <c r="R248" s="260"/>
    </row>
    <row r="249" ht="15.75" customHeight="1">
      <c r="E249" s="251"/>
      <c r="H249" s="252"/>
      <c r="I249" s="253"/>
      <c r="J249" s="254"/>
      <c r="K249" s="255"/>
      <c r="L249" s="256"/>
      <c r="M249" s="257"/>
      <c r="N249" s="258"/>
      <c r="O249" s="259"/>
      <c r="P249" s="260"/>
      <c r="Q249" s="260"/>
      <c r="R249" s="260"/>
    </row>
    <row r="250" ht="15.75" customHeight="1">
      <c r="E250" s="251"/>
      <c r="H250" s="252"/>
      <c r="I250" s="253"/>
      <c r="J250" s="254"/>
      <c r="K250" s="255"/>
      <c r="L250" s="256"/>
      <c r="M250" s="257"/>
      <c r="N250" s="258"/>
      <c r="O250" s="259"/>
      <c r="P250" s="260"/>
      <c r="Q250" s="260"/>
      <c r="R250" s="260"/>
    </row>
    <row r="251" ht="15.75" customHeight="1">
      <c r="E251" s="251"/>
      <c r="H251" s="252"/>
      <c r="I251" s="253"/>
      <c r="J251" s="254"/>
      <c r="K251" s="255"/>
      <c r="L251" s="256"/>
      <c r="M251" s="257"/>
      <c r="N251" s="258"/>
      <c r="O251" s="259"/>
      <c r="P251" s="260"/>
      <c r="Q251" s="260"/>
      <c r="R251" s="260"/>
    </row>
    <row r="252" ht="15.75" customHeight="1">
      <c r="E252" s="251"/>
      <c r="H252" s="252"/>
      <c r="I252" s="253"/>
      <c r="J252" s="254"/>
      <c r="K252" s="255"/>
      <c r="L252" s="256"/>
      <c r="M252" s="257"/>
      <c r="N252" s="258"/>
      <c r="O252" s="259"/>
      <c r="P252" s="260"/>
      <c r="Q252" s="260"/>
      <c r="R252" s="260"/>
    </row>
    <row r="253" ht="15.75" customHeight="1">
      <c r="E253" s="251"/>
      <c r="H253" s="252"/>
      <c r="I253" s="253"/>
      <c r="J253" s="254"/>
      <c r="K253" s="255"/>
      <c r="L253" s="256"/>
      <c r="M253" s="257"/>
      <c r="N253" s="258"/>
      <c r="O253" s="259"/>
      <c r="P253" s="260"/>
      <c r="Q253" s="260"/>
      <c r="R253" s="260"/>
    </row>
    <row r="254" ht="15.75" customHeight="1">
      <c r="E254" s="251"/>
      <c r="H254" s="252"/>
      <c r="I254" s="253"/>
      <c r="J254" s="254"/>
      <c r="K254" s="255"/>
      <c r="L254" s="256"/>
      <c r="M254" s="257"/>
      <c r="N254" s="258"/>
      <c r="O254" s="259"/>
      <c r="P254" s="260"/>
      <c r="Q254" s="260"/>
      <c r="R254" s="260"/>
    </row>
    <row r="255" ht="15.75" customHeight="1">
      <c r="E255" s="251"/>
      <c r="H255" s="252"/>
      <c r="I255" s="253"/>
      <c r="J255" s="254"/>
      <c r="K255" s="255"/>
      <c r="L255" s="256"/>
      <c r="M255" s="257"/>
      <c r="N255" s="258"/>
      <c r="O255" s="259"/>
      <c r="P255" s="260"/>
      <c r="Q255" s="260"/>
      <c r="R255" s="260"/>
    </row>
    <row r="256" ht="15.75" customHeight="1">
      <c r="E256" s="251"/>
      <c r="H256" s="252"/>
      <c r="I256" s="253"/>
      <c r="J256" s="254"/>
      <c r="K256" s="255"/>
      <c r="L256" s="256"/>
      <c r="M256" s="257"/>
      <c r="N256" s="258"/>
      <c r="O256" s="259"/>
      <c r="P256" s="260"/>
      <c r="Q256" s="260"/>
      <c r="R256" s="260"/>
    </row>
    <row r="257" ht="15.75" customHeight="1">
      <c r="E257" s="251"/>
      <c r="H257" s="252"/>
      <c r="I257" s="253"/>
      <c r="J257" s="254"/>
      <c r="K257" s="255"/>
      <c r="L257" s="256"/>
      <c r="M257" s="257"/>
      <c r="N257" s="258"/>
      <c r="O257" s="259"/>
      <c r="P257" s="260"/>
      <c r="Q257" s="260"/>
      <c r="R257" s="260"/>
    </row>
    <row r="258" ht="15.75" customHeight="1">
      <c r="E258" s="251"/>
      <c r="H258" s="252"/>
      <c r="I258" s="253"/>
      <c r="J258" s="254"/>
      <c r="K258" s="255"/>
      <c r="L258" s="256"/>
      <c r="M258" s="257"/>
      <c r="N258" s="258"/>
      <c r="O258" s="259"/>
      <c r="P258" s="260"/>
      <c r="Q258" s="260"/>
      <c r="R258" s="260"/>
    </row>
    <row r="259" ht="15.75" customHeight="1">
      <c r="E259" s="251"/>
      <c r="H259" s="252"/>
      <c r="I259" s="253"/>
      <c r="J259" s="254"/>
      <c r="K259" s="255"/>
      <c r="L259" s="256"/>
      <c r="M259" s="257"/>
      <c r="N259" s="258"/>
      <c r="O259" s="259"/>
      <c r="P259" s="260"/>
      <c r="Q259" s="260"/>
      <c r="R259" s="260"/>
    </row>
    <row r="260" ht="15.75" customHeight="1">
      <c r="E260" s="251"/>
      <c r="H260" s="252"/>
      <c r="I260" s="253"/>
      <c r="J260" s="254"/>
      <c r="K260" s="255"/>
      <c r="L260" s="256"/>
      <c r="M260" s="257"/>
      <c r="N260" s="258"/>
      <c r="O260" s="259"/>
      <c r="P260" s="260"/>
      <c r="Q260" s="260"/>
      <c r="R260" s="260"/>
    </row>
    <row r="261" ht="15.75" customHeight="1">
      <c r="E261" s="251"/>
      <c r="H261" s="252"/>
      <c r="I261" s="253"/>
      <c r="J261" s="254"/>
      <c r="K261" s="255"/>
      <c r="L261" s="256"/>
      <c r="M261" s="257"/>
      <c r="N261" s="258"/>
      <c r="O261" s="259"/>
      <c r="P261" s="260"/>
      <c r="Q261" s="260"/>
      <c r="R261" s="260"/>
    </row>
    <row r="262" ht="15.75" customHeight="1">
      <c r="E262" s="251"/>
      <c r="H262" s="252"/>
      <c r="I262" s="253"/>
      <c r="J262" s="254"/>
      <c r="K262" s="255"/>
      <c r="L262" s="256"/>
      <c r="M262" s="257"/>
      <c r="N262" s="258"/>
      <c r="O262" s="259"/>
      <c r="P262" s="260"/>
      <c r="Q262" s="260"/>
      <c r="R262" s="260"/>
    </row>
    <row r="263" ht="15.75" customHeight="1">
      <c r="E263" s="251"/>
      <c r="H263" s="252"/>
      <c r="I263" s="253"/>
      <c r="J263" s="254"/>
      <c r="K263" s="255"/>
      <c r="L263" s="256"/>
      <c r="M263" s="257"/>
      <c r="N263" s="258"/>
      <c r="O263" s="259"/>
      <c r="P263" s="260"/>
      <c r="Q263" s="260"/>
      <c r="R263" s="260"/>
    </row>
    <row r="264" ht="15.75" customHeight="1">
      <c r="E264" s="251"/>
      <c r="H264" s="252"/>
      <c r="I264" s="253"/>
      <c r="J264" s="254"/>
      <c r="K264" s="255"/>
      <c r="L264" s="256"/>
      <c r="M264" s="257"/>
      <c r="N264" s="258"/>
      <c r="O264" s="259"/>
      <c r="P264" s="260"/>
      <c r="Q264" s="260"/>
      <c r="R264" s="260"/>
    </row>
    <row r="265" ht="15.75" customHeight="1">
      <c r="E265" s="251"/>
      <c r="H265" s="252"/>
      <c r="I265" s="253"/>
      <c r="J265" s="254"/>
      <c r="K265" s="255"/>
      <c r="L265" s="256"/>
      <c r="M265" s="257"/>
      <c r="N265" s="258"/>
      <c r="O265" s="259"/>
      <c r="P265" s="260"/>
      <c r="Q265" s="260"/>
      <c r="R265" s="260"/>
    </row>
    <row r="266" ht="15.75" customHeight="1">
      <c r="E266" s="251"/>
      <c r="H266" s="252"/>
      <c r="I266" s="253"/>
      <c r="J266" s="254"/>
      <c r="K266" s="255"/>
      <c r="L266" s="256"/>
      <c r="M266" s="257"/>
      <c r="N266" s="258"/>
      <c r="O266" s="259"/>
      <c r="P266" s="260"/>
      <c r="Q266" s="260"/>
      <c r="R266" s="260"/>
    </row>
    <row r="267" ht="15.75" customHeight="1">
      <c r="E267" s="251"/>
      <c r="H267" s="252"/>
      <c r="I267" s="253"/>
      <c r="J267" s="254"/>
      <c r="K267" s="255"/>
      <c r="L267" s="256"/>
      <c r="M267" s="257"/>
      <c r="N267" s="258"/>
      <c r="O267" s="259"/>
      <c r="P267" s="260"/>
      <c r="Q267" s="260"/>
      <c r="R267" s="260"/>
    </row>
    <row r="268" ht="15.75" customHeight="1">
      <c r="E268" s="251"/>
      <c r="H268" s="252"/>
      <c r="I268" s="253"/>
      <c r="J268" s="254"/>
      <c r="K268" s="255"/>
      <c r="L268" s="256"/>
      <c r="M268" s="257"/>
      <c r="N268" s="258"/>
      <c r="O268" s="259"/>
      <c r="P268" s="260"/>
      <c r="Q268" s="260"/>
      <c r="R268" s="260"/>
    </row>
    <row r="269" ht="15.75" customHeight="1">
      <c r="E269" s="251"/>
      <c r="H269" s="252"/>
      <c r="I269" s="253"/>
      <c r="J269" s="254"/>
      <c r="K269" s="255"/>
      <c r="L269" s="256"/>
      <c r="M269" s="257"/>
      <c r="N269" s="258"/>
      <c r="O269" s="259"/>
      <c r="P269" s="260"/>
      <c r="Q269" s="260"/>
      <c r="R269" s="260"/>
    </row>
    <row r="270" ht="15.75" customHeight="1">
      <c r="E270" s="251"/>
      <c r="H270" s="252"/>
      <c r="I270" s="253"/>
      <c r="J270" s="254"/>
      <c r="K270" s="255"/>
      <c r="L270" s="256"/>
      <c r="M270" s="257"/>
      <c r="N270" s="258"/>
      <c r="O270" s="259"/>
      <c r="P270" s="260"/>
      <c r="Q270" s="260"/>
      <c r="R270" s="260"/>
    </row>
    <row r="271" ht="15.75" customHeight="1">
      <c r="E271" s="251"/>
      <c r="H271" s="252"/>
      <c r="I271" s="253"/>
      <c r="J271" s="254"/>
      <c r="K271" s="255"/>
      <c r="L271" s="256"/>
      <c r="M271" s="257"/>
      <c r="N271" s="258"/>
      <c r="O271" s="259"/>
      <c r="P271" s="260"/>
      <c r="Q271" s="260"/>
      <c r="R271" s="260"/>
    </row>
    <row r="272" ht="15.75" customHeight="1">
      <c r="E272" s="251"/>
      <c r="H272" s="252"/>
      <c r="I272" s="253"/>
      <c r="J272" s="254"/>
      <c r="K272" s="255"/>
      <c r="L272" s="256"/>
      <c r="M272" s="257"/>
      <c r="N272" s="258"/>
      <c r="O272" s="259"/>
      <c r="P272" s="260"/>
      <c r="Q272" s="260"/>
      <c r="R272" s="260"/>
    </row>
    <row r="273" ht="15.75" customHeight="1">
      <c r="E273" s="251"/>
      <c r="H273" s="252"/>
      <c r="I273" s="253"/>
      <c r="J273" s="254"/>
      <c r="K273" s="255"/>
      <c r="L273" s="256"/>
      <c r="M273" s="257"/>
      <c r="N273" s="258"/>
      <c r="O273" s="259"/>
      <c r="P273" s="260"/>
      <c r="Q273" s="260"/>
      <c r="R273" s="260"/>
    </row>
    <row r="274" ht="15.75" customHeight="1">
      <c r="E274" s="251"/>
      <c r="H274" s="252"/>
      <c r="I274" s="253"/>
      <c r="J274" s="254"/>
      <c r="K274" s="255"/>
      <c r="L274" s="256"/>
      <c r="M274" s="257"/>
      <c r="N274" s="258"/>
      <c r="O274" s="259"/>
      <c r="P274" s="260"/>
      <c r="Q274" s="260"/>
      <c r="R274" s="260"/>
    </row>
    <row r="275" ht="15.75" customHeight="1">
      <c r="E275" s="251"/>
      <c r="H275" s="252"/>
      <c r="I275" s="253"/>
      <c r="J275" s="254"/>
      <c r="K275" s="255"/>
      <c r="L275" s="256"/>
      <c r="M275" s="257"/>
      <c r="N275" s="258"/>
      <c r="O275" s="259"/>
      <c r="P275" s="260"/>
      <c r="Q275" s="260"/>
      <c r="R275" s="260"/>
    </row>
    <row r="276" ht="15.75" customHeight="1">
      <c r="E276" s="251"/>
      <c r="H276" s="252"/>
      <c r="I276" s="253"/>
      <c r="J276" s="254"/>
      <c r="K276" s="255"/>
      <c r="L276" s="256"/>
      <c r="M276" s="257"/>
      <c r="N276" s="258"/>
      <c r="O276" s="259"/>
      <c r="P276" s="260"/>
      <c r="Q276" s="260"/>
      <c r="R276" s="260"/>
    </row>
    <row r="277" ht="15.75" customHeight="1">
      <c r="E277" s="251"/>
      <c r="H277" s="252"/>
      <c r="I277" s="253"/>
      <c r="J277" s="254"/>
      <c r="K277" s="255"/>
      <c r="L277" s="256"/>
      <c r="M277" s="257"/>
      <c r="N277" s="258"/>
      <c r="O277" s="259"/>
      <c r="P277" s="260"/>
      <c r="Q277" s="260"/>
      <c r="R277" s="260"/>
    </row>
    <row r="278" ht="15.75" customHeight="1">
      <c r="E278" s="251"/>
      <c r="H278" s="252"/>
      <c r="I278" s="253"/>
      <c r="J278" s="254"/>
      <c r="K278" s="255"/>
      <c r="L278" s="256"/>
      <c r="M278" s="257"/>
      <c r="N278" s="258"/>
      <c r="O278" s="259"/>
      <c r="P278" s="260"/>
      <c r="Q278" s="260"/>
      <c r="R278" s="260"/>
    </row>
    <row r="279" ht="15.75" customHeight="1">
      <c r="E279" s="251"/>
      <c r="H279" s="252"/>
      <c r="I279" s="253"/>
      <c r="J279" s="254"/>
      <c r="K279" s="255"/>
      <c r="L279" s="256"/>
      <c r="M279" s="257"/>
      <c r="N279" s="258"/>
      <c r="O279" s="259"/>
      <c r="P279" s="260"/>
      <c r="Q279" s="260"/>
      <c r="R279" s="260"/>
    </row>
    <row r="280" ht="15.75" customHeight="1">
      <c r="E280" s="251"/>
      <c r="H280" s="252"/>
      <c r="I280" s="253"/>
      <c r="J280" s="254"/>
      <c r="K280" s="255"/>
      <c r="L280" s="256"/>
      <c r="M280" s="257"/>
      <c r="N280" s="258"/>
      <c r="O280" s="259"/>
      <c r="P280" s="260"/>
      <c r="Q280" s="260"/>
      <c r="R280" s="260"/>
    </row>
    <row r="281" ht="15.75" customHeight="1">
      <c r="E281" s="251"/>
      <c r="H281" s="252"/>
      <c r="I281" s="253"/>
      <c r="J281" s="254"/>
      <c r="K281" s="255"/>
      <c r="L281" s="256"/>
      <c r="M281" s="257"/>
      <c r="N281" s="258"/>
      <c r="O281" s="259"/>
      <c r="P281" s="260"/>
      <c r="Q281" s="260"/>
      <c r="R281" s="260"/>
    </row>
    <row r="282" ht="15.75" customHeight="1">
      <c r="E282" s="251"/>
      <c r="H282" s="252"/>
      <c r="I282" s="253"/>
      <c r="J282" s="254"/>
      <c r="K282" s="255"/>
      <c r="L282" s="256"/>
      <c r="M282" s="257"/>
      <c r="N282" s="258"/>
      <c r="O282" s="259"/>
      <c r="P282" s="260"/>
      <c r="Q282" s="260"/>
      <c r="R282" s="260"/>
    </row>
    <row r="283" ht="15.75" customHeight="1">
      <c r="E283" s="251"/>
      <c r="H283" s="252"/>
      <c r="I283" s="253"/>
      <c r="J283" s="254"/>
      <c r="K283" s="255"/>
      <c r="L283" s="256"/>
      <c r="M283" s="257"/>
      <c r="N283" s="258"/>
      <c r="O283" s="259"/>
      <c r="P283" s="260"/>
      <c r="Q283" s="260"/>
      <c r="R283" s="260"/>
    </row>
    <row r="284" ht="15.75" customHeight="1">
      <c r="E284" s="251"/>
      <c r="H284" s="252"/>
      <c r="I284" s="253"/>
      <c r="J284" s="254"/>
      <c r="K284" s="255"/>
      <c r="L284" s="256"/>
      <c r="M284" s="257"/>
      <c r="N284" s="258"/>
      <c r="O284" s="259"/>
      <c r="P284" s="260"/>
      <c r="Q284" s="260"/>
      <c r="R284" s="260"/>
    </row>
    <row r="285" ht="15.75" customHeight="1">
      <c r="E285" s="251"/>
      <c r="H285" s="252"/>
      <c r="I285" s="253"/>
      <c r="J285" s="254"/>
      <c r="K285" s="255"/>
      <c r="L285" s="256"/>
      <c r="M285" s="257"/>
      <c r="N285" s="258"/>
      <c r="O285" s="259"/>
      <c r="P285" s="260"/>
      <c r="Q285" s="260"/>
      <c r="R285" s="260"/>
    </row>
    <row r="286" ht="15.75" customHeight="1">
      <c r="E286" s="251"/>
      <c r="H286" s="252"/>
      <c r="I286" s="253"/>
      <c r="J286" s="254"/>
      <c r="K286" s="255"/>
      <c r="L286" s="256"/>
      <c r="M286" s="257"/>
      <c r="N286" s="258"/>
      <c r="O286" s="259"/>
      <c r="P286" s="260"/>
      <c r="Q286" s="260"/>
      <c r="R286" s="260"/>
    </row>
    <row r="287" ht="15.75" customHeight="1">
      <c r="E287" s="251"/>
      <c r="H287" s="252"/>
      <c r="I287" s="253"/>
      <c r="J287" s="254"/>
      <c r="K287" s="255"/>
      <c r="L287" s="256"/>
      <c r="M287" s="257"/>
      <c r="N287" s="258"/>
      <c r="O287" s="259"/>
      <c r="P287" s="260"/>
      <c r="Q287" s="260"/>
      <c r="R287" s="260"/>
    </row>
    <row r="288" ht="15.75" customHeight="1">
      <c r="E288" s="251"/>
      <c r="H288" s="252"/>
      <c r="I288" s="253"/>
      <c r="J288" s="254"/>
      <c r="K288" s="255"/>
      <c r="L288" s="256"/>
      <c r="M288" s="257"/>
      <c r="N288" s="258"/>
      <c r="O288" s="259"/>
      <c r="P288" s="260"/>
      <c r="Q288" s="260"/>
      <c r="R288" s="260"/>
    </row>
    <row r="289" ht="15.75" customHeight="1">
      <c r="E289" s="251"/>
      <c r="H289" s="252"/>
      <c r="I289" s="253"/>
      <c r="J289" s="254"/>
      <c r="K289" s="255"/>
      <c r="L289" s="256"/>
      <c r="M289" s="257"/>
      <c r="N289" s="258"/>
      <c r="O289" s="259"/>
      <c r="P289" s="260"/>
      <c r="Q289" s="260"/>
      <c r="R289" s="260"/>
    </row>
    <row r="290" ht="15.75" customHeight="1">
      <c r="E290" s="251"/>
      <c r="H290" s="252"/>
      <c r="I290" s="253"/>
      <c r="J290" s="254"/>
      <c r="K290" s="255"/>
      <c r="L290" s="256"/>
      <c r="M290" s="257"/>
      <c r="N290" s="258"/>
      <c r="O290" s="259"/>
      <c r="P290" s="260"/>
      <c r="Q290" s="260"/>
      <c r="R290" s="260"/>
    </row>
    <row r="291" ht="15.75" customHeight="1">
      <c r="E291" s="251"/>
      <c r="H291" s="252"/>
      <c r="I291" s="253"/>
      <c r="J291" s="254"/>
      <c r="K291" s="255"/>
      <c r="L291" s="256"/>
      <c r="M291" s="257"/>
      <c r="N291" s="258"/>
      <c r="O291" s="259"/>
      <c r="P291" s="260"/>
      <c r="Q291" s="260"/>
      <c r="R291" s="260"/>
    </row>
    <row r="292" ht="15.75" customHeight="1">
      <c r="E292" s="251"/>
      <c r="H292" s="252"/>
      <c r="I292" s="253"/>
      <c r="J292" s="254"/>
      <c r="K292" s="255"/>
      <c r="L292" s="256"/>
      <c r="M292" s="257"/>
      <c r="N292" s="258"/>
      <c r="O292" s="259"/>
      <c r="P292" s="260"/>
      <c r="Q292" s="260"/>
      <c r="R292" s="260"/>
    </row>
    <row r="293" ht="15.75" customHeight="1">
      <c r="E293" s="251"/>
      <c r="H293" s="252"/>
      <c r="I293" s="253"/>
      <c r="J293" s="254"/>
      <c r="K293" s="255"/>
      <c r="L293" s="256"/>
      <c r="M293" s="257"/>
      <c r="N293" s="258"/>
      <c r="O293" s="259"/>
      <c r="P293" s="260"/>
      <c r="Q293" s="260"/>
      <c r="R293" s="260"/>
    </row>
    <row r="294" ht="15.75" customHeight="1">
      <c r="E294" s="251"/>
      <c r="H294" s="252"/>
      <c r="I294" s="253"/>
      <c r="J294" s="254"/>
      <c r="K294" s="255"/>
      <c r="L294" s="256"/>
      <c r="M294" s="257"/>
      <c r="N294" s="258"/>
      <c r="O294" s="259"/>
      <c r="P294" s="260"/>
      <c r="Q294" s="260"/>
      <c r="R294" s="260"/>
    </row>
    <row r="295" ht="15.75" customHeight="1">
      <c r="E295" s="251"/>
      <c r="H295" s="252"/>
      <c r="I295" s="253"/>
      <c r="J295" s="254"/>
      <c r="K295" s="255"/>
      <c r="L295" s="256"/>
      <c r="M295" s="257"/>
      <c r="N295" s="258"/>
      <c r="O295" s="259"/>
      <c r="P295" s="260"/>
      <c r="Q295" s="260"/>
      <c r="R295" s="260"/>
    </row>
    <row r="296" ht="15.75" customHeight="1">
      <c r="E296" s="251"/>
      <c r="H296" s="252"/>
      <c r="I296" s="253"/>
      <c r="J296" s="254"/>
      <c r="K296" s="255"/>
      <c r="L296" s="256"/>
      <c r="M296" s="257"/>
      <c r="N296" s="258"/>
      <c r="O296" s="259"/>
      <c r="P296" s="260"/>
      <c r="Q296" s="260"/>
      <c r="R296" s="260"/>
    </row>
    <row r="297" ht="15.75" customHeight="1">
      <c r="E297" s="251"/>
      <c r="H297" s="252"/>
      <c r="I297" s="253"/>
      <c r="J297" s="254"/>
      <c r="K297" s="255"/>
      <c r="L297" s="256"/>
      <c r="M297" s="257"/>
      <c r="N297" s="258"/>
      <c r="O297" s="259"/>
      <c r="P297" s="260"/>
      <c r="Q297" s="260"/>
      <c r="R297" s="260"/>
    </row>
    <row r="298" ht="15.75" customHeight="1">
      <c r="E298" s="251"/>
      <c r="H298" s="252"/>
      <c r="I298" s="253"/>
      <c r="J298" s="254"/>
      <c r="K298" s="255"/>
      <c r="L298" s="256"/>
      <c r="M298" s="257"/>
      <c r="N298" s="258"/>
      <c r="O298" s="259"/>
      <c r="P298" s="260"/>
      <c r="Q298" s="260"/>
      <c r="R298" s="260"/>
    </row>
    <row r="299" ht="15.75" customHeight="1">
      <c r="E299" s="251"/>
      <c r="H299" s="252"/>
      <c r="I299" s="253"/>
      <c r="J299" s="254"/>
      <c r="K299" s="255"/>
      <c r="L299" s="256"/>
      <c r="M299" s="257"/>
      <c r="N299" s="258"/>
      <c r="O299" s="259"/>
      <c r="P299" s="260"/>
      <c r="Q299" s="260"/>
      <c r="R299" s="260"/>
    </row>
    <row r="300" ht="15.75" customHeight="1">
      <c r="E300" s="251"/>
      <c r="H300" s="252"/>
      <c r="I300" s="253"/>
      <c r="J300" s="254"/>
      <c r="K300" s="255"/>
      <c r="L300" s="256"/>
      <c r="M300" s="257"/>
      <c r="N300" s="258"/>
      <c r="O300" s="259"/>
      <c r="P300" s="260"/>
      <c r="Q300" s="260"/>
      <c r="R300" s="260"/>
    </row>
    <row r="301" ht="15.75" customHeight="1">
      <c r="E301" s="251"/>
      <c r="H301" s="252"/>
      <c r="I301" s="253"/>
      <c r="J301" s="254"/>
      <c r="K301" s="255"/>
      <c r="L301" s="256"/>
      <c r="M301" s="257"/>
      <c r="N301" s="258"/>
      <c r="O301" s="259"/>
      <c r="P301" s="260"/>
      <c r="Q301" s="260"/>
      <c r="R301" s="260"/>
    </row>
    <row r="302" ht="15.75" customHeight="1">
      <c r="E302" s="251"/>
      <c r="H302" s="252"/>
      <c r="I302" s="253"/>
      <c r="J302" s="254"/>
      <c r="K302" s="255"/>
      <c r="L302" s="256"/>
      <c r="M302" s="257"/>
      <c r="N302" s="258"/>
      <c r="O302" s="259"/>
      <c r="P302" s="260"/>
      <c r="Q302" s="260"/>
      <c r="R302" s="260"/>
    </row>
    <row r="303" ht="15.75" customHeight="1">
      <c r="E303" s="251"/>
      <c r="H303" s="252"/>
      <c r="I303" s="253"/>
      <c r="J303" s="254"/>
      <c r="K303" s="255"/>
      <c r="L303" s="256"/>
      <c r="M303" s="257"/>
      <c r="N303" s="258"/>
      <c r="O303" s="259"/>
      <c r="P303" s="260"/>
      <c r="Q303" s="260"/>
      <c r="R303" s="260"/>
    </row>
    <row r="304" ht="15.75" customHeight="1">
      <c r="E304" s="251"/>
      <c r="H304" s="252"/>
      <c r="I304" s="253"/>
      <c r="J304" s="254"/>
      <c r="K304" s="255"/>
      <c r="L304" s="256"/>
      <c r="M304" s="257"/>
      <c r="N304" s="258"/>
      <c r="O304" s="259"/>
      <c r="P304" s="260"/>
      <c r="Q304" s="260"/>
      <c r="R304" s="260"/>
    </row>
    <row r="305" ht="15.75" customHeight="1">
      <c r="E305" s="251"/>
      <c r="H305" s="252"/>
      <c r="I305" s="253"/>
      <c r="J305" s="254"/>
      <c r="K305" s="255"/>
      <c r="L305" s="256"/>
      <c r="M305" s="257"/>
      <c r="N305" s="258"/>
      <c r="O305" s="259"/>
      <c r="P305" s="260"/>
      <c r="Q305" s="260"/>
      <c r="R305" s="260"/>
    </row>
    <row r="306" ht="15.75" customHeight="1">
      <c r="E306" s="251"/>
      <c r="H306" s="252"/>
      <c r="I306" s="253"/>
      <c r="J306" s="254"/>
      <c r="K306" s="255"/>
      <c r="L306" s="256"/>
      <c r="M306" s="257"/>
      <c r="N306" s="258"/>
      <c r="O306" s="259"/>
      <c r="P306" s="260"/>
      <c r="Q306" s="260"/>
      <c r="R306" s="260"/>
    </row>
    <row r="307" ht="15.75" customHeight="1">
      <c r="E307" s="251"/>
      <c r="H307" s="252"/>
      <c r="I307" s="253"/>
      <c r="J307" s="254"/>
      <c r="K307" s="255"/>
      <c r="L307" s="256"/>
      <c r="M307" s="257"/>
      <c r="N307" s="258"/>
      <c r="O307" s="259"/>
      <c r="P307" s="260"/>
      <c r="Q307" s="260"/>
      <c r="R307" s="260"/>
    </row>
    <row r="308" ht="15.75" customHeight="1">
      <c r="E308" s="251"/>
      <c r="H308" s="252"/>
      <c r="I308" s="253"/>
      <c r="J308" s="254"/>
      <c r="K308" s="255"/>
      <c r="L308" s="256"/>
      <c r="M308" s="257"/>
      <c r="N308" s="258"/>
      <c r="O308" s="259"/>
      <c r="P308" s="260"/>
      <c r="Q308" s="260"/>
      <c r="R308" s="260"/>
    </row>
    <row r="309" ht="15.75" customHeight="1">
      <c r="E309" s="251"/>
      <c r="H309" s="252"/>
      <c r="I309" s="253"/>
      <c r="J309" s="254"/>
      <c r="K309" s="255"/>
      <c r="L309" s="256"/>
      <c r="M309" s="257"/>
      <c r="N309" s="258"/>
      <c r="O309" s="259"/>
      <c r="P309" s="260"/>
      <c r="Q309" s="260"/>
      <c r="R309" s="260"/>
    </row>
    <row r="310" ht="15.75" customHeight="1">
      <c r="E310" s="251"/>
      <c r="H310" s="252"/>
      <c r="I310" s="253"/>
      <c r="J310" s="254"/>
      <c r="K310" s="255"/>
      <c r="L310" s="256"/>
      <c r="M310" s="257"/>
      <c r="N310" s="258"/>
      <c r="O310" s="259"/>
      <c r="P310" s="260"/>
      <c r="Q310" s="260"/>
      <c r="R310" s="260"/>
    </row>
    <row r="311" ht="15.75" customHeight="1">
      <c r="E311" s="251"/>
      <c r="H311" s="252"/>
      <c r="I311" s="253"/>
      <c r="J311" s="254"/>
      <c r="K311" s="255"/>
      <c r="L311" s="256"/>
      <c r="M311" s="257"/>
      <c r="N311" s="258"/>
      <c r="O311" s="259"/>
      <c r="P311" s="260"/>
      <c r="Q311" s="260"/>
      <c r="R311" s="260"/>
    </row>
    <row r="312" ht="15.75" customHeight="1">
      <c r="E312" s="251"/>
      <c r="H312" s="252"/>
      <c r="I312" s="253"/>
      <c r="J312" s="254"/>
      <c r="K312" s="255"/>
      <c r="L312" s="256"/>
      <c r="M312" s="257"/>
      <c r="N312" s="258"/>
      <c r="O312" s="259"/>
      <c r="P312" s="260"/>
      <c r="Q312" s="260"/>
      <c r="R312" s="260"/>
    </row>
    <row r="313" ht="15.75" customHeight="1">
      <c r="E313" s="251"/>
      <c r="H313" s="252"/>
      <c r="I313" s="253"/>
      <c r="J313" s="254"/>
      <c r="K313" s="255"/>
      <c r="L313" s="256"/>
      <c r="M313" s="257"/>
      <c r="N313" s="258"/>
      <c r="O313" s="259"/>
      <c r="P313" s="260"/>
      <c r="Q313" s="260"/>
      <c r="R313" s="260"/>
    </row>
    <row r="314" ht="15.75" customHeight="1">
      <c r="E314" s="251"/>
      <c r="H314" s="252"/>
      <c r="I314" s="253"/>
      <c r="J314" s="254"/>
      <c r="K314" s="255"/>
      <c r="L314" s="256"/>
      <c r="M314" s="257"/>
      <c r="N314" s="258"/>
      <c r="O314" s="259"/>
      <c r="P314" s="260"/>
      <c r="Q314" s="260"/>
      <c r="R314" s="260"/>
    </row>
    <row r="315" ht="15.75" customHeight="1">
      <c r="E315" s="251"/>
      <c r="H315" s="252"/>
      <c r="I315" s="253"/>
      <c r="J315" s="254"/>
      <c r="K315" s="255"/>
      <c r="L315" s="256"/>
      <c r="M315" s="257"/>
      <c r="N315" s="258"/>
      <c r="O315" s="259"/>
      <c r="P315" s="260"/>
      <c r="Q315" s="260"/>
      <c r="R315" s="260"/>
    </row>
    <row r="316" ht="15.75" customHeight="1">
      <c r="E316" s="251"/>
      <c r="H316" s="252"/>
      <c r="I316" s="253"/>
      <c r="J316" s="254"/>
      <c r="K316" s="255"/>
      <c r="L316" s="256"/>
      <c r="M316" s="257"/>
      <c r="N316" s="258"/>
      <c r="O316" s="259"/>
      <c r="P316" s="260"/>
      <c r="Q316" s="260"/>
      <c r="R316" s="260"/>
    </row>
    <row r="317" ht="15.75" customHeight="1">
      <c r="E317" s="251"/>
      <c r="H317" s="252"/>
      <c r="I317" s="253"/>
      <c r="J317" s="254"/>
      <c r="K317" s="255"/>
      <c r="L317" s="256"/>
      <c r="M317" s="257"/>
      <c r="N317" s="258"/>
      <c r="O317" s="259"/>
      <c r="P317" s="260"/>
      <c r="Q317" s="260"/>
      <c r="R317" s="260"/>
    </row>
    <row r="318" ht="15.75" customHeight="1">
      <c r="E318" s="251"/>
      <c r="H318" s="252"/>
      <c r="I318" s="253"/>
      <c r="J318" s="254"/>
      <c r="K318" s="255"/>
      <c r="L318" s="256"/>
      <c r="M318" s="257"/>
      <c r="N318" s="258"/>
      <c r="O318" s="259"/>
      <c r="P318" s="260"/>
      <c r="Q318" s="260"/>
      <c r="R318" s="260"/>
    </row>
    <row r="319" ht="15.75" customHeight="1">
      <c r="E319" s="251"/>
      <c r="H319" s="252"/>
      <c r="I319" s="253"/>
      <c r="J319" s="254"/>
      <c r="K319" s="255"/>
      <c r="L319" s="256"/>
      <c r="M319" s="257"/>
      <c r="N319" s="258"/>
      <c r="O319" s="259"/>
      <c r="P319" s="260"/>
      <c r="Q319" s="260"/>
      <c r="R319" s="260"/>
    </row>
    <row r="320" ht="15.75" customHeight="1">
      <c r="E320" s="251"/>
      <c r="H320" s="252"/>
      <c r="I320" s="253"/>
      <c r="J320" s="254"/>
      <c r="K320" s="255"/>
      <c r="L320" s="256"/>
      <c r="M320" s="257"/>
      <c r="N320" s="258"/>
      <c r="O320" s="259"/>
      <c r="P320" s="260"/>
      <c r="Q320" s="260"/>
      <c r="R320" s="260"/>
    </row>
    <row r="321" ht="15.75" customHeight="1">
      <c r="E321" s="251"/>
      <c r="H321" s="252"/>
      <c r="I321" s="253"/>
      <c r="J321" s="254"/>
      <c r="K321" s="255"/>
      <c r="L321" s="256"/>
      <c r="M321" s="257"/>
      <c r="N321" s="258"/>
      <c r="O321" s="259"/>
      <c r="P321" s="260"/>
      <c r="Q321" s="260"/>
      <c r="R321" s="260"/>
    </row>
    <row r="322" ht="15.75" customHeight="1">
      <c r="E322" s="251"/>
      <c r="H322" s="252"/>
      <c r="I322" s="253"/>
      <c r="J322" s="254"/>
      <c r="K322" s="255"/>
      <c r="L322" s="256"/>
      <c r="M322" s="257"/>
      <c r="N322" s="258"/>
      <c r="O322" s="259"/>
      <c r="P322" s="260"/>
      <c r="Q322" s="260"/>
      <c r="R322" s="260"/>
    </row>
    <row r="323" ht="15.75" customHeight="1">
      <c r="E323" s="251"/>
      <c r="H323" s="252"/>
      <c r="I323" s="253"/>
      <c r="J323" s="254"/>
      <c r="K323" s="255"/>
      <c r="L323" s="256"/>
      <c r="M323" s="257"/>
      <c r="N323" s="258"/>
      <c r="O323" s="259"/>
      <c r="P323" s="260"/>
      <c r="Q323" s="260"/>
      <c r="R323" s="260"/>
    </row>
    <row r="324" ht="15.75" customHeight="1">
      <c r="E324" s="251"/>
      <c r="H324" s="252"/>
      <c r="I324" s="253"/>
      <c r="J324" s="254"/>
      <c r="K324" s="255"/>
      <c r="L324" s="256"/>
      <c r="M324" s="257"/>
      <c r="N324" s="258"/>
      <c r="O324" s="259"/>
      <c r="P324" s="260"/>
      <c r="Q324" s="260"/>
      <c r="R324" s="260"/>
    </row>
    <row r="325" ht="15.75" customHeight="1">
      <c r="E325" s="251"/>
      <c r="H325" s="252"/>
      <c r="I325" s="253"/>
      <c r="J325" s="254"/>
      <c r="K325" s="255"/>
      <c r="L325" s="256"/>
      <c r="M325" s="257"/>
      <c r="N325" s="258"/>
      <c r="O325" s="259"/>
      <c r="P325" s="260"/>
      <c r="Q325" s="260"/>
      <c r="R325" s="260"/>
    </row>
    <row r="326" ht="15.75" customHeight="1">
      <c r="E326" s="251"/>
      <c r="H326" s="252"/>
      <c r="I326" s="253"/>
      <c r="J326" s="254"/>
      <c r="K326" s="255"/>
      <c r="L326" s="256"/>
      <c r="M326" s="257"/>
      <c r="N326" s="258"/>
      <c r="O326" s="259"/>
      <c r="P326" s="260"/>
      <c r="Q326" s="260"/>
      <c r="R326" s="260"/>
    </row>
    <row r="327" ht="15.75" customHeight="1">
      <c r="E327" s="251"/>
      <c r="H327" s="252"/>
      <c r="I327" s="253"/>
      <c r="J327" s="254"/>
      <c r="K327" s="255"/>
      <c r="L327" s="256"/>
      <c r="M327" s="257"/>
      <c r="N327" s="258"/>
      <c r="O327" s="259"/>
      <c r="P327" s="260"/>
      <c r="Q327" s="260"/>
      <c r="R327" s="260"/>
    </row>
    <row r="328" ht="15.75" customHeight="1">
      <c r="E328" s="251"/>
      <c r="H328" s="252"/>
      <c r="I328" s="253"/>
      <c r="J328" s="254"/>
      <c r="K328" s="255"/>
      <c r="L328" s="256"/>
      <c r="M328" s="257"/>
      <c r="N328" s="258"/>
      <c r="O328" s="259"/>
      <c r="P328" s="260"/>
      <c r="Q328" s="260"/>
      <c r="R328" s="260"/>
    </row>
    <row r="329" ht="15.75" customHeight="1">
      <c r="E329" s="251"/>
      <c r="H329" s="252"/>
      <c r="I329" s="253"/>
      <c r="J329" s="254"/>
      <c r="K329" s="255"/>
      <c r="L329" s="256"/>
      <c r="M329" s="257"/>
      <c r="N329" s="258"/>
      <c r="O329" s="259"/>
      <c r="P329" s="260"/>
      <c r="Q329" s="260"/>
      <c r="R329" s="260"/>
    </row>
    <row r="330" ht="15.75" customHeight="1">
      <c r="E330" s="251"/>
      <c r="H330" s="252"/>
      <c r="I330" s="253"/>
      <c r="J330" s="254"/>
      <c r="K330" s="255"/>
      <c r="L330" s="256"/>
      <c r="M330" s="257"/>
      <c r="N330" s="258"/>
      <c r="O330" s="259"/>
      <c r="P330" s="260"/>
      <c r="Q330" s="260"/>
      <c r="R330" s="260"/>
    </row>
    <row r="331" ht="15.75" customHeight="1">
      <c r="E331" s="251"/>
      <c r="H331" s="252"/>
      <c r="I331" s="253"/>
      <c r="J331" s="254"/>
      <c r="K331" s="255"/>
      <c r="L331" s="256"/>
      <c r="M331" s="257"/>
      <c r="N331" s="258"/>
      <c r="O331" s="259"/>
      <c r="P331" s="260"/>
      <c r="Q331" s="260"/>
      <c r="R331" s="260"/>
    </row>
    <row r="332" ht="15.75" customHeight="1">
      <c r="E332" s="251"/>
      <c r="H332" s="252"/>
      <c r="I332" s="253"/>
      <c r="J332" s="254"/>
      <c r="K332" s="255"/>
      <c r="L332" s="256"/>
      <c r="M332" s="257"/>
      <c r="N332" s="258"/>
      <c r="O332" s="259"/>
      <c r="P332" s="260"/>
      <c r="Q332" s="260"/>
      <c r="R332" s="260"/>
    </row>
    <row r="333" ht="15.75" customHeight="1">
      <c r="E333" s="251"/>
      <c r="H333" s="252"/>
      <c r="I333" s="253"/>
      <c r="J333" s="254"/>
      <c r="K333" s="255"/>
      <c r="L333" s="256"/>
      <c r="M333" s="257"/>
      <c r="N333" s="258"/>
      <c r="O333" s="259"/>
      <c r="P333" s="260"/>
      <c r="Q333" s="260"/>
      <c r="R333" s="260"/>
    </row>
    <row r="334" ht="15.75" customHeight="1">
      <c r="E334" s="251"/>
      <c r="H334" s="252"/>
      <c r="I334" s="253"/>
      <c r="J334" s="254"/>
      <c r="K334" s="255"/>
      <c r="L334" s="256"/>
      <c r="M334" s="257"/>
      <c r="N334" s="258"/>
      <c r="O334" s="259"/>
      <c r="P334" s="260"/>
      <c r="Q334" s="260"/>
      <c r="R334" s="260"/>
    </row>
    <row r="335" ht="15.75" customHeight="1">
      <c r="E335" s="251"/>
      <c r="H335" s="252"/>
      <c r="I335" s="253"/>
      <c r="J335" s="254"/>
      <c r="K335" s="255"/>
      <c r="L335" s="256"/>
      <c r="M335" s="257"/>
      <c r="N335" s="258"/>
      <c r="O335" s="259"/>
      <c r="P335" s="260"/>
      <c r="Q335" s="260"/>
      <c r="R335" s="260"/>
    </row>
    <row r="336" ht="15.75" customHeight="1">
      <c r="E336" s="251"/>
      <c r="H336" s="252"/>
      <c r="I336" s="253"/>
      <c r="J336" s="254"/>
      <c r="K336" s="255"/>
      <c r="L336" s="256"/>
      <c r="M336" s="257"/>
      <c r="N336" s="258"/>
      <c r="O336" s="259"/>
      <c r="P336" s="260"/>
      <c r="Q336" s="260"/>
      <c r="R336" s="260"/>
    </row>
    <row r="337" ht="15.75" customHeight="1">
      <c r="E337" s="251"/>
      <c r="H337" s="252"/>
      <c r="I337" s="253"/>
      <c r="J337" s="254"/>
      <c r="K337" s="255"/>
      <c r="L337" s="256"/>
      <c r="M337" s="257"/>
      <c r="N337" s="258"/>
      <c r="O337" s="259"/>
      <c r="P337" s="260"/>
      <c r="Q337" s="260"/>
      <c r="R337" s="260"/>
    </row>
    <row r="338" ht="15.75" customHeight="1">
      <c r="E338" s="251"/>
      <c r="H338" s="252"/>
      <c r="I338" s="253"/>
      <c r="J338" s="254"/>
      <c r="K338" s="255"/>
      <c r="L338" s="256"/>
      <c r="M338" s="257"/>
      <c r="N338" s="258"/>
      <c r="O338" s="259"/>
      <c r="P338" s="260"/>
      <c r="Q338" s="260"/>
      <c r="R338" s="260"/>
    </row>
    <row r="339" ht="15.75" customHeight="1">
      <c r="E339" s="251"/>
      <c r="H339" s="252"/>
      <c r="I339" s="253"/>
      <c r="J339" s="254"/>
      <c r="K339" s="255"/>
      <c r="L339" s="256"/>
      <c r="M339" s="257"/>
      <c r="N339" s="258"/>
      <c r="O339" s="259"/>
      <c r="P339" s="260"/>
      <c r="Q339" s="260"/>
      <c r="R339" s="260"/>
    </row>
    <row r="340" ht="15.75" customHeight="1">
      <c r="E340" s="251"/>
      <c r="H340" s="252"/>
      <c r="I340" s="253"/>
      <c r="J340" s="254"/>
      <c r="K340" s="255"/>
      <c r="L340" s="256"/>
      <c r="M340" s="257"/>
      <c r="N340" s="258"/>
      <c r="O340" s="259"/>
      <c r="P340" s="260"/>
      <c r="Q340" s="260"/>
      <c r="R340" s="260"/>
    </row>
    <row r="341" ht="15.75" customHeight="1">
      <c r="E341" s="251"/>
      <c r="H341" s="252"/>
      <c r="I341" s="253"/>
      <c r="J341" s="254"/>
      <c r="K341" s="255"/>
      <c r="L341" s="256"/>
      <c r="M341" s="257"/>
      <c r="N341" s="258"/>
      <c r="O341" s="259"/>
      <c r="P341" s="260"/>
      <c r="Q341" s="260"/>
      <c r="R341" s="260"/>
    </row>
    <row r="342" ht="15.75" customHeight="1">
      <c r="E342" s="251"/>
      <c r="H342" s="252"/>
      <c r="I342" s="253"/>
      <c r="J342" s="254"/>
      <c r="K342" s="255"/>
      <c r="L342" s="256"/>
      <c r="M342" s="257"/>
      <c r="N342" s="258"/>
      <c r="O342" s="259"/>
      <c r="P342" s="260"/>
      <c r="Q342" s="260"/>
      <c r="R342" s="260"/>
    </row>
    <row r="343" ht="15.75" customHeight="1">
      <c r="E343" s="251"/>
      <c r="H343" s="252"/>
      <c r="I343" s="253"/>
      <c r="J343" s="254"/>
      <c r="K343" s="255"/>
      <c r="L343" s="256"/>
      <c r="M343" s="257"/>
      <c r="N343" s="258"/>
      <c r="O343" s="259"/>
      <c r="P343" s="260"/>
      <c r="Q343" s="260"/>
      <c r="R343" s="260"/>
    </row>
    <row r="344" ht="15.75" customHeight="1">
      <c r="E344" s="251"/>
      <c r="H344" s="252"/>
      <c r="I344" s="253"/>
      <c r="J344" s="254"/>
      <c r="K344" s="255"/>
      <c r="L344" s="256"/>
      <c r="M344" s="257"/>
      <c r="N344" s="258"/>
      <c r="O344" s="259"/>
      <c r="P344" s="260"/>
      <c r="Q344" s="260"/>
      <c r="R344" s="260"/>
    </row>
    <row r="345" ht="15.75" customHeight="1">
      <c r="E345" s="251"/>
      <c r="H345" s="252"/>
      <c r="I345" s="253"/>
      <c r="J345" s="254"/>
      <c r="K345" s="255"/>
      <c r="L345" s="256"/>
      <c r="M345" s="257"/>
      <c r="N345" s="258"/>
      <c r="O345" s="259"/>
      <c r="P345" s="260"/>
      <c r="Q345" s="260"/>
      <c r="R345" s="260"/>
    </row>
    <row r="346" ht="15.75" customHeight="1">
      <c r="E346" s="251"/>
      <c r="H346" s="252"/>
      <c r="I346" s="253"/>
      <c r="J346" s="254"/>
      <c r="K346" s="255"/>
      <c r="L346" s="256"/>
      <c r="M346" s="257"/>
      <c r="N346" s="258"/>
      <c r="O346" s="259"/>
      <c r="P346" s="260"/>
      <c r="Q346" s="260"/>
      <c r="R346" s="260"/>
    </row>
    <row r="347" ht="15.75" customHeight="1">
      <c r="E347" s="251"/>
      <c r="H347" s="252"/>
      <c r="I347" s="253"/>
      <c r="J347" s="254"/>
      <c r="K347" s="255"/>
      <c r="L347" s="256"/>
      <c r="M347" s="257"/>
      <c r="N347" s="258"/>
      <c r="O347" s="259"/>
      <c r="P347" s="260"/>
      <c r="Q347" s="260"/>
      <c r="R347" s="260"/>
    </row>
    <row r="348" ht="15.75" customHeight="1">
      <c r="E348" s="251"/>
      <c r="H348" s="252"/>
      <c r="I348" s="253"/>
      <c r="J348" s="254"/>
      <c r="K348" s="255"/>
      <c r="L348" s="256"/>
      <c r="M348" s="257"/>
      <c r="N348" s="258"/>
      <c r="O348" s="259"/>
      <c r="P348" s="260"/>
      <c r="Q348" s="260"/>
      <c r="R348" s="260"/>
    </row>
    <row r="349" ht="15.75" customHeight="1">
      <c r="E349" s="251"/>
      <c r="H349" s="252"/>
      <c r="I349" s="253"/>
      <c r="J349" s="254"/>
      <c r="K349" s="255"/>
      <c r="L349" s="256"/>
      <c r="M349" s="257"/>
      <c r="N349" s="258"/>
      <c r="O349" s="259"/>
      <c r="P349" s="260"/>
      <c r="Q349" s="260"/>
      <c r="R349" s="260"/>
    </row>
    <row r="350" ht="15.75" customHeight="1">
      <c r="E350" s="251"/>
      <c r="H350" s="252"/>
      <c r="I350" s="253"/>
      <c r="J350" s="254"/>
      <c r="K350" s="255"/>
      <c r="L350" s="256"/>
      <c r="M350" s="257"/>
      <c r="N350" s="258"/>
      <c r="O350" s="259"/>
      <c r="P350" s="260"/>
      <c r="Q350" s="260"/>
      <c r="R350" s="260"/>
    </row>
    <row r="351" ht="15.75" customHeight="1">
      <c r="E351" s="251"/>
      <c r="H351" s="252"/>
      <c r="I351" s="253"/>
      <c r="J351" s="254"/>
      <c r="K351" s="255"/>
      <c r="L351" s="256"/>
      <c r="M351" s="257"/>
      <c r="N351" s="258"/>
      <c r="O351" s="259"/>
      <c r="P351" s="260"/>
      <c r="Q351" s="260"/>
      <c r="R351" s="260"/>
    </row>
    <row r="352" ht="15.75" customHeight="1">
      <c r="E352" s="251"/>
      <c r="H352" s="252"/>
      <c r="I352" s="253"/>
      <c r="J352" s="254"/>
      <c r="K352" s="255"/>
      <c r="L352" s="256"/>
      <c r="M352" s="257"/>
      <c r="N352" s="258"/>
      <c r="O352" s="259"/>
      <c r="P352" s="260"/>
      <c r="Q352" s="260"/>
      <c r="R352" s="260"/>
    </row>
    <row r="353" ht="15.75" customHeight="1">
      <c r="E353" s="251"/>
      <c r="H353" s="252"/>
      <c r="I353" s="253"/>
      <c r="J353" s="254"/>
      <c r="K353" s="255"/>
      <c r="L353" s="256"/>
      <c r="M353" s="257"/>
      <c r="N353" s="258"/>
      <c r="O353" s="259"/>
      <c r="P353" s="260"/>
      <c r="Q353" s="260"/>
      <c r="R353" s="260"/>
    </row>
    <row r="354" ht="15.75" customHeight="1">
      <c r="E354" s="251"/>
      <c r="H354" s="252"/>
      <c r="I354" s="253"/>
      <c r="J354" s="254"/>
      <c r="K354" s="255"/>
      <c r="L354" s="256"/>
      <c r="M354" s="257"/>
      <c r="N354" s="258"/>
      <c r="O354" s="259"/>
      <c r="P354" s="260"/>
      <c r="Q354" s="260"/>
      <c r="R354" s="260"/>
    </row>
    <row r="355" ht="15.75" customHeight="1">
      <c r="E355" s="251"/>
      <c r="H355" s="252"/>
      <c r="I355" s="253"/>
      <c r="J355" s="254"/>
      <c r="K355" s="255"/>
      <c r="L355" s="256"/>
      <c r="M355" s="257"/>
      <c r="N355" s="258"/>
      <c r="O355" s="259"/>
      <c r="P355" s="260"/>
      <c r="Q355" s="260"/>
      <c r="R355" s="260"/>
    </row>
    <row r="356" ht="15.75" customHeight="1">
      <c r="E356" s="251"/>
      <c r="H356" s="252"/>
      <c r="I356" s="253"/>
      <c r="J356" s="254"/>
      <c r="K356" s="255"/>
      <c r="L356" s="256"/>
      <c r="M356" s="257"/>
      <c r="N356" s="258"/>
      <c r="O356" s="259"/>
      <c r="P356" s="260"/>
      <c r="Q356" s="260"/>
      <c r="R356" s="260"/>
    </row>
    <row r="357" ht="15.75" customHeight="1">
      <c r="E357" s="251"/>
      <c r="H357" s="252"/>
      <c r="I357" s="253"/>
      <c r="J357" s="254"/>
      <c r="K357" s="255"/>
      <c r="L357" s="256"/>
      <c r="M357" s="257"/>
      <c r="N357" s="258"/>
      <c r="O357" s="259"/>
      <c r="P357" s="260"/>
      <c r="Q357" s="260"/>
      <c r="R357" s="260"/>
    </row>
    <row r="358" ht="15.75" customHeight="1">
      <c r="E358" s="251"/>
      <c r="H358" s="252"/>
      <c r="I358" s="253"/>
      <c r="J358" s="254"/>
      <c r="K358" s="255"/>
      <c r="L358" s="256"/>
      <c r="M358" s="257"/>
      <c r="N358" s="258"/>
      <c r="O358" s="259"/>
      <c r="P358" s="260"/>
      <c r="Q358" s="260"/>
      <c r="R358" s="260"/>
    </row>
    <row r="359" ht="15.75" customHeight="1">
      <c r="E359" s="251"/>
      <c r="H359" s="252"/>
      <c r="I359" s="253"/>
      <c r="J359" s="254"/>
      <c r="K359" s="255"/>
      <c r="L359" s="256"/>
      <c r="M359" s="257"/>
      <c r="N359" s="258"/>
      <c r="O359" s="259"/>
      <c r="P359" s="260"/>
      <c r="Q359" s="260"/>
      <c r="R359" s="260"/>
    </row>
    <row r="360" ht="15.75" customHeight="1">
      <c r="E360" s="251"/>
      <c r="H360" s="252"/>
      <c r="I360" s="253"/>
      <c r="J360" s="254"/>
      <c r="K360" s="255"/>
      <c r="L360" s="256"/>
      <c r="M360" s="257"/>
      <c r="N360" s="258"/>
      <c r="O360" s="259"/>
      <c r="P360" s="260"/>
      <c r="Q360" s="260"/>
      <c r="R360" s="260"/>
    </row>
    <row r="361" ht="15.75" customHeight="1">
      <c r="E361" s="251"/>
      <c r="H361" s="252"/>
      <c r="I361" s="253"/>
      <c r="J361" s="254"/>
      <c r="K361" s="255"/>
      <c r="L361" s="256"/>
      <c r="M361" s="257"/>
      <c r="N361" s="258"/>
      <c r="O361" s="259"/>
      <c r="P361" s="260"/>
      <c r="Q361" s="260"/>
      <c r="R361" s="260"/>
    </row>
    <row r="362" ht="15.75" customHeight="1">
      <c r="E362" s="251"/>
      <c r="H362" s="252"/>
      <c r="I362" s="253"/>
      <c r="J362" s="254"/>
      <c r="K362" s="255"/>
      <c r="L362" s="256"/>
      <c r="M362" s="257"/>
      <c r="N362" s="258"/>
      <c r="O362" s="259"/>
      <c r="P362" s="260"/>
      <c r="Q362" s="260"/>
      <c r="R362" s="260"/>
    </row>
    <row r="363" ht="15.75" customHeight="1">
      <c r="E363" s="251"/>
      <c r="H363" s="252"/>
      <c r="I363" s="253"/>
      <c r="J363" s="254"/>
      <c r="K363" s="255"/>
      <c r="L363" s="256"/>
      <c r="M363" s="257"/>
      <c r="N363" s="258"/>
      <c r="O363" s="259"/>
      <c r="P363" s="260"/>
      <c r="Q363" s="260"/>
      <c r="R363" s="260"/>
    </row>
    <row r="364" ht="15.75" customHeight="1">
      <c r="E364" s="251"/>
      <c r="H364" s="252"/>
      <c r="I364" s="253"/>
      <c r="J364" s="254"/>
      <c r="K364" s="255"/>
      <c r="L364" s="256"/>
      <c r="M364" s="257"/>
      <c r="N364" s="258"/>
      <c r="O364" s="259"/>
      <c r="P364" s="260"/>
      <c r="Q364" s="260"/>
      <c r="R364" s="260"/>
    </row>
    <row r="365" ht="15.75" customHeight="1">
      <c r="E365" s="251"/>
      <c r="H365" s="252"/>
      <c r="I365" s="253"/>
      <c r="J365" s="254"/>
      <c r="K365" s="255"/>
      <c r="L365" s="256"/>
      <c r="M365" s="257"/>
      <c r="N365" s="258"/>
      <c r="O365" s="259"/>
      <c r="P365" s="260"/>
      <c r="Q365" s="260"/>
      <c r="R365" s="260"/>
    </row>
    <row r="366" ht="15.75" customHeight="1">
      <c r="E366" s="251"/>
      <c r="H366" s="252"/>
      <c r="I366" s="253"/>
      <c r="J366" s="254"/>
      <c r="K366" s="255"/>
      <c r="L366" s="256"/>
      <c r="M366" s="257"/>
      <c r="N366" s="258"/>
      <c r="O366" s="259"/>
      <c r="P366" s="260"/>
      <c r="Q366" s="260"/>
      <c r="R366" s="260"/>
    </row>
    <row r="367" ht="15.75" customHeight="1">
      <c r="E367" s="251"/>
      <c r="H367" s="252"/>
      <c r="I367" s="253"/>
      <c r="J367" s="254"/>
      <c r="K367" s="255"/>
      <c r="L367" s="256"/>
      <c r="M367" s="257"/>
      <c r="N367" s="258"/>
      <c r="O367" s="259"/>
      <c r="P367" s="260"/>
      <c r="Q367" s="260"/>
      <c r="R367" s="260"/>
    </row>
    <row r="368" ht="15.75" customHeight="1">
      <c r="E368" s="251"/>
      <c r="H368" s="252"/>
      <c r="I368" s="253"/>
      <c r="J368" s="254"/>
      <c r="K368" s="255"/>
      <c r="L368" s="256"/>
      <c r="M368" s="257"/>
      <c r="N368" s="258"/>
      <c r="O368" s="259"/>
      <c r="P368" s="260"/>
      <c r="Q368" s="260"/>
      <c r="R368" s="260"/>
    </row>
    <row r="369" ht="15.75" customHeight="1">
      <c r="E369" s="251"/>
      <c r="H369" s="252"/>
      <c r="I369" s="253"/>
      <c r="J369" s="254"/>
      <c r="K369" s="255"/>
      <c r="L369" s="256"/>
      <c r="M369" s="257"/>
      <c r="N369" s="258"/>
      <c r="O369" s="259"/>
      <c r="P369" s="260"/>
      <c r="Q369" s="260"/>
      <c r="R369" s="260"/>
    </row>
    <row r="370" ht="15.75" customHeight="1">
      <c r="E370" s="251"/>
      <c r="H370" s="252"/>
      <c r="I370" s="253"/>
      <c r="J370" s="254"/>
      <c r="K370" s="255"/>
      <c r="L370" s="256"/>
      <c r="M370" s="257"/>
      <c r="N370" s="258"/>
      <c r="O370" s="259"/>
      <c r="P370" s="260"/>
      <c r="Q370" s="260"/>
      <c r="R370" s="260"/>
    </row>
    <row r="371" ht="15.75" customHeight="1">
      <c r="E371" s="251"/>
      <c r="H371" s="252"/>
      <c r="I371" s="253"/>
      <c r="J371" s="254"/>
      <c r="K371" s="255"/>
      <c r="L371" s="256"/>
      <c r="M371" s="257"/>
      <c r="N371" s="258"/>
      <c r="O371" s="259"/>
      <c r="P371" s="260"/>
      <c r="Q371" s="260"/>
      <c r="R371" s="260"/>
    </row>
    <row r="372" ht="15.75" customHeight="1">
      <c r="E372" s="251"/>
      <c r="H372" s="252"/>
      <c r="I372" s="253"/>
      <c r="J372" s="254"/>
      <c r="K372" s="255"/>
      <c r="L372" s="256"/>
      <c r="M372" s="257"/>
      <c r="N372" s="258"/>
      <c r="O372" s="259"/>
      <c r="P372" s="260"/>
      <c r="Q372" s="260"/>
      <c r="R372" s="260"/>
    </row>
    <row r="373" ht="15.75" customHeight="1">
      <c r="E373" s="251"/>
      <c r="H373" s="252"/>
      <c r="I373" s="253"/>
      <c r="J373" s="254"/>
      <c r="K373" s="255"/>
      <c r="L373" s="256"/>
      <c r="M373" s="257"/>
      <c r="N373" s="258"/>
      <c r="O373" s="259"/>
      <c r="P373" s="260"/>
      <c r="Q373" s="260"/>
      <c r="R373" s="260"/>
    </row>
    <row r="374" ht="15.75" customHeight="1">
      <c r="E374" s="251"/>
      <c r="H374" s="252"/>
      <c r="I374" s="253"/>
      <c r="J374" s="254"/>
      <c r="K374" s="255"/>
      <c r="L374" s="256"/>
      <c r="M374" s="257"/>
      <c r="N374" s="258"/>
      <c r="O374" s="259"/>
      <c r="P374" s="260"/>
      <c r="Q374" s="260"/>
      <c r="R374" s="260"/>
    </row>
    <row r="375" ht="15.75" customHeight="1">
      <c r="E375" s="251"/>
      <c r="H375" s="252"/>
      <c r="I375" s="253"/>
      <c r="J375" s="254"/>
      <c r="K375" s="255"/>
      <c r="L375" s="256"/>
      <c r="M375" s="257"/>
      <c r="N375" s="258"/>
      <c r="O375" s="259"/>
      <c r="P375" s="260"/>
      <c r="Q375" s="260"/>
      <c r="R375" s="260"/>
    </row>
    <row r="376" ht="15.75" customHeight="1">
      <c r="E376" s="251"/>
      <c r="H376" s="252"/>
      <c r="I376" s="253"/>
      <c r="J376" s="254"/>
      <c r="K376" s="255"/>
      <c r="L376" s="256"/>
      <c r="M376" s="257"/>
      <c r="N376" s="258"/>
      <c r="O376" s="259"/>
      <c r="P376" s="260"/>
      <c r="Q376" s="260"/>
      <c r="R376" s="260"/>
    </row>
    <row r="377" ht="15.75" customHeight="1">
      <c r="E377" s="251"/>
      <c r="H377" s="252"/>
      <c r="I377" s="253"/>
      <c r="J377" s="254"/>
      <c r="K377" s="255"/>
      <c r="L377" s="256"/>
      <c r="M377" s="257"/>
      <c r="N377" s="258"/>
      <c r="O377" s="259"/>
      <c r="P377" s="260"/>
      <c r="Q377" s="260"/>
      <c r="R377" s="260"/>
    </row>
    <row r="378" ht="15.75" customHeight="1">
      <c r="E378" s="251"/>
      <c r="H378" s="252"/>
      <c r="I378" s="253"/>
      <c r="J378" s="254"/>
      <c r="K378" s="255"/>
      <c r="L378" s="256"/>
      <c r="M378" s="257"/>
      <c r="N378" s="258"/>
      <c r="O378" s="259"/>
      <c r="P378" s="260"/>
      <c r="Q378" s="260"/>
      <c r="R378" s="260"/>
    </row>
    <row r="379" ht="15.75" customHeight="1">
      <c r="E379" s="251"/>
      <c r="H379" s="252"/>
      <c r="I379" s="253"/>
      <c r="J379" s="254"/>
      <c r="K379" s="255"/>
      <c r="L379" s="256"/>
      <c r="M379" s="257"/>
      <c r="N379" s="258"/>
      <c r="O379" s="259"/>
      <c r="P379" s="260"/>
      <c r="Q379" s="260"/>
      <c r="R379" s="260"/>
    </row>
    <row r="380" ht="15.75" customHeight="1">
      <c r="E380" s="251"/>
      <c r="H380" s="252"/>
      <c r="I380" s="253"/>
      <c r="J380" s="254"/>
      <c r="K380" s="255"/>
      <c r="L380" s="256"/>
      <c r="M380" s="257"/>
      <c r="N380" s="258"/>
      <c r="O380" s="259"/>
      <c r="P380" s="260"/>
      <c r="Q380" s="260"/>
      <c r="R380" s="260"/>
    </row>
    <row r="381" ht="15.75" customHeight="1">
      <c r="E381" s="251"/>
      <c r="H381" s="252"/>
      <c r="I381" s="253"/>
      <c r="J381" s="254"/>
      <c r="K381" s="255"/>
      <c r="L381" s="256"/>
      <c r="M381" s="257"/>
      <c r="N381" s="258"/>
      <c r="O381" s="259"/>
      <c r="P381" s="260"/>
      <c r="Q381" s="260"/>
      <c r="R381" s="260"/>
    </row>
    <row r="382" ht="15.75" customHeight="1">
      <c r="E382" s="251"/>
      <c r="H382" s="252"/>
      <c r="I382" s="253"/>
      <c r="J382" s="254"/>
      <c r="K382" s="255"/>
      <c r="L382" s="256"/>
      <c r="M382" s="257"/>
      <c r="N382" s="258"/>
      <c r="O382" s="259"/>
      <c r="P382" s="260"/>
      <c r="Q382" s="260"/>
      <c r="R382" s="260"/>
    </row>
    <row r="383" ht="15.75" customHeight="1">
      <c r="E383" s="251"/>
      <c r="H383" s="252"/>
      <c r="I383" s="253"/>
      <c r="J383" s="254"/>
      <c r="K383" s="255"/>
      <c r="L383" s="256"/>
      <c r="M383" s="257"/>
      <c r="N383" s="258"/>
      <c r="O383" s="259"/>
      <c r="P383" s="260"/>
      <c r="Q383" s="260"/>
      <c r="R383" s="260"/>
    </row>
    <row r="384" ht="15.75" customHeight="1">
      <c r="E384" s="251"/>
      <c r="H384" s="252"/>
      <c r="I384" s="253"/>
      <c r="J384" s="254"/>
      <c r="K384" s="255"/>
      <c r="L384" s="256"/>
      <c r="M384" s="257"/>
      <c r="N384" s="258"/>
      <c r="O384" s="259"/>
      <c r="P384" s="260"/>
      <c r="Q384" s="260"/>
      <c r="R384" s="260"/>
    </row>
    <row r="385" ht="15.75" customHeight="1">
      <c r="E385" s="251"/>
      <c r="H385" s="252"/>
      <c r="I385" s="253"/>
      <c r="J385" s="254"/>
      <c r="K385" s="255"/>
      <c r="L385" s="256"/>
      <c r="M385" s="257"/>
      <c r="N385" s="258"/>
      <c r="O385" s="259"/>
      <c r="P385" s="260"/>
      <c r="Q385" s="260"/>
      <c r="R385" s="260"/>
    </row>
    <row r="386" ht="15.75" customHeight="1">
      <c r="E386" s="251"/>
      <c r="H386" s="252"/>
      <c r="I386" s="253"/>
      <c r="J386" s="254"/>
      <c r="K386" s="255"/>
      <c r="L386" s="256"/>
      <c r="M386" s="257"/>
      <c r="N386" s="258"/>
      <c r="O386" s="259"/>
      <c r="P386" s="260"/>
      <c r="Q386" s="260"/>
      <c r="R386" s="260"/>
    </row>
    <row r="387" ht="15.75" customHeight="1">
      <c r="E387" s="251"/>
      <c r="H387" s="252"/>
      <c r="I387" s="253"/>
      <c r="J387" s="254"/>
      <c r="K387" s="255"/>
      <c r="L387" s="256"/>
      <c r="M387" s="257"/>
      <c r="N387" s="258"/>
      <c r="O387" s="259"/>
      <c r="P387" s="260"/>
      <c r="Q387" s="260"/>
      <c r="R387" s="260"/>
    </row>
    <row r="388" ht="15.75" customHeight="1">
      <c r="E388" s="251"/>
      <c r="H388" s="252"/>
      <c r="I388" s="253"/>
      <c r="J388" s="254"/>
      <c r="K388" s="255"/>
      <c r="L388" s="256"/>
      <c r="M388" s="257"/>
      <c r="N388" s="258"/>
      <c r="O388" s="259"/>
      <c r="P388" s="260"/>
      <c r="Q388" s="260"/>
      <c r="R388" s="260"/>
    </row>
    <row r="389" ht="15.75" customHeight="1">
      <c r="E389" s="251"/>
      <c r="H389" s="252"/>
      <c r="I389" s="253"/>
      <c r="J389" s="254"/>
      <c r="K389" s="255"/>
      <c r="L389" s="256"/>
      <c r="M389" s="257"/>
      <c r="N389" s="258"/>
      <c r="O389" s="259"/>
      <c r="P389" s="260"/>
      <c r="Q389" s="260"/>
      <c r="R389" s="260"/>
    </row>
    <row r="390" ht="15.75" customHeight="1">
      <c r="E390" s="251"/>
      <c r="H390" s="252"/>
      <c r="I390" s="253"/>
      <c r="J390" s="254"/>
      <c r="K390" s="255"/>
      <c r="L390" s="256"/>
      <c r="M390" s="257"/>
      <c r="N390" s="258"/>
      <c r="O390" s="259"/>
      <c r="P390" s="260"/>
      <c r="Q390" s="260"/>
      <c r="R390" s="260"/>
    </row>
    <row r="391" ht="15.75" customHeight="1">
      <c r="E391" s="251"/>
      <c r="H391" s="252"/>
      <c r="I391" s="253"/>
      <c r="J391" s="254"/>
      <c r="K391" s="255"/>
      <c r="L391" s="256"/>
      <c r="M391" s="257"/>
      <c r="N391" s="258"/>
      <c r="O391" s="259"/>
      <c r="P391" s="260"/>
      <c r="Q391" s="260"/>
      <c r="R391" s="260"/>
    </row>
    <row r="392" ht="15.75" customHeight="1">
      <c r="E392" s="251"/>
      <c r="H392" s="252"/>
      <c r="I392" s="253"/>
      <c r="J392" s="254"/>
      <c r="K392" s="255"/>
      <c r="L392" s="256"/>
      <c r="M392" s="257"/>
      <c r="N392" s="258"/>
      <c r="O392" s="259"/>
      <c r="P392" s="260"/>
      <c r="Q392" s="260"/>
      <c r="R392" s="260"/>
    </row>
    <row r="393" ht="15.75" customHeight="1">
      <c r="E393" s="251"/>
      <c r="H393" s="252"/>
      <c r="I393" s="253"/>
      <c r="J393" s="254"/>
      <c r="K393" s="255"/>
      <c r="L393" s="256"/>
      <c r="M393" s="257"/>
      <c r="N393" s="258"/>
      <c r="O393" s="259"/>
      <c r="P393" s="260"/>
      <c r="Q393" s="260"/>
      <c r="R393" s="260"/>
    </row>
    <row r="394" ht="15.75" customHeight="1">
      <c r="E394" s="251"/>
      <c r="H394" s="252"/>
      <c r="I394" s="253"/>
      <c r="J394" s="254"/>
      <c r="K394" s="255"/>
      <c r="L394" s="256"/>
      <c r="M394" s="257"/>
      <c r="N394" s="258"/>
      <c r="O394" s="259"/>
      <c r="P394" s="260"/>
      <c r="Q394" s="260"/>
      <c r="R394" s="260"/>
    </row>
    <row r="395" ht="15.75" customHeight="1">
      <c r="E395" s="251"/>
      <c r="H395" s="252"/>
      <c r="I395" s="253"/>
      <c r="J395" s="254"/>
      <c r="K395" s="255"/>
      <c r="L395" s="256"/>
      <c r="M395" s="257"/>
      <c r="N395" s="258"/>
      <c r="O395" s="259"/>
      <c r="P395" s="260"/>
      <c r="Q395" s="260"/>
      <c r="R395" s="260"/>
    </row>
    <row r="396" ht="15.75" customHeight="1">
      <c r="E396" s="251"/>
      <c r="H396" s="252"/>
      <c r="I396" s="253"/>
      <c r="J396" s="254"/>
      <c r="K396" s="255"/>
      <c r="L396" s="256"/>
      <c r="M396" s="257"/>
      <c r="N396" s="258"/>
      <c r="O396" s="259"/>
      <c r="P396" s="260"/>
      <c r="Q396" s="260"/>
      <c r="R396" s="260"/>
    </row>
    <row r="397" ht="15.75" customHeight="1">
      <c r="E397" s="251"/>
      <c r="H397" s="252"/>
      <c r="I397" s="253"/>
      <c r="J397" s="254"/>
      <c r="K397" s="255"/>
      <c r="L397" s="256"/>
      <c r="M397" s="257"/>
      <c r="N397" s="258"/>
      <c r="O397" s="259"/>
      <c r="P397" s="260"/>
      <c r="Q397" s="260"/>
      <c r="R397" s="260"/>
    </row>
    <row r="398" ht="15.75" customHeight="1">
      <c r="E398" s="251"/>
      <c r="H398" s="252"/>
      <c r="I398" s="253"/>
      <c r="J398" s="254"/>
      <c r="K398" s="255"/>
      <c r="L398" s="256"/>
      <c r="M398" s="257"/>
      <c r="N398" s="258"/>
      <c r="O398" s="259"/>
      <c r="P398" s="260"/>
      <c r="Q398" s="260"/>
      <c r="R398" s="260"/>
    </row>
    <row r="399" ht="15.75" customHeight="1">
      <c r="E399" s="251"/>
      <c r="H399" s="252"/>
      <c r="I399" s="253"/>
      <c r="J399" s="254"/>
      <c r="K399" s="255"/>
      <c r="L399" s="256"/>
      <c r="M399" s="257"/>
      <c r="N399" s="258"/>
      <c r="O399" s="259"/>
      <c r="P399" s="260"/>
      <c r="Q399" s="260"/>
      <c r="R399" s="260"/>
    </row>
    <row r="400" ht="15.75" customHeight="1">
      <c r="E400" s="251"/>
      <c r="H400" s="252"/>
      <c r="I400" s="253"/>
      <c r="J400" s="254"/>
      <c r="K400" s="255"/>
      <c r="L400" s="256"/>
      <c r="M400" s="257"/>
      <c r="N400" s="258"/>
      <c r="O400" s="259"/>
      <c r="P400" s="260"/>
      <c r="Q400" s="260"/>
      <c r="R400" s="260"/>
    </row>
    <row r="401" ht="15.75" customHeight="1">
      <c r="E401" s="251"/>
      <c r="H401" s="252"/>
      <c r="I401" s="253"/>
      <c r="J401" s="254"/>
      <c r="K401" s="255"/>
      <c r="L401" s="256"/>
      <c r="M401" s="257"/>
      <c r="N401" s="258"/>
      <c r="O401" s="259"/>
      <c r="P401" s="260"/>
      <c r="Q401" s="260"/>
      <c r="R401" s="260"/>
    </row>
    <row r="402" ht="15.75" customHeight="1">
      <c r="E402" s="251"/>
      <c r="H402" s="252"/>
      <c r="I402" s="253"/>
      <c r="J402" s="254"/>
      <c r="K402" s="255"/>
      <c r="L402" s="256"/>
      <c r="M402" s="257"/>
      <c r="N402" s="258"/>
      <c r="O402" s="259"/>
      <c r="P402" s="260"/>
      <c r="Q402" s="260"/>
      <c r="R402" s="260"/>
    </row>
    <row r="403" ht="15.75" customHeight="1">
      <c r="E403" s="251"/>
      <c r="H403" s="252"/>
      <c r="I403" s="253"/>
      <c r="J403" s="254"/>
      <c r="K403" s="255"/>
      <c r="L403" s="256"/>
      <c r="M403" s="257"/>
      <c r="N403" s="258"/>
      <c r="O403" s="259"/>
      <c r="P403" s="260"/>
      <c r="Q403" s="260"/>
      <c r="R403" s="260"/>
    </row>
    <row r="404" ht="15.75" customHeight="1">
      <c r="E404" s="251"/>
      <c r="H404" s="252"/>
      <c r="I404" s="253"/>
      <c r="J404" s="254"/>
      <c r="K404" s="255"/>
      <c r="L404" s="256"/>
      <c r="M404" s="257"/>
      <c r="N404" s="258"/>
      <c r="O404" s="259"/>
      <c r="P404" s="260"/>
      <c r="Q404" s="260"/>
      <c r="R404" s="260"/>
    </row>
    <row r="405" ht="15.75" customHeight="1">
      <c r="E405" s="251"/>
      <c r="H405" s="252"/>
      <c r="I405" s="253"/>
      <c r="J405" s="254"/>
      <c r="K405" s="255"/>
      <c r="L405" s="256"/>
      <c r="M405" s="257"/>
      <c r="N405" s="258"/>
      <c r="O405" s="259"/>
      <c r="P405" s="260"/>
      <c r="Q405" s="260"/>
      <c r="R405" s="260"/>
    </row>
    <row r="406" ht="15.75" customHeight="1">
      <c r="E406" s="251"/>
      <c r="H406" s="252"/>
      <c r="I406" s="253"/>
      <c r="J406" s="254"/>
      <c r="K406" s="255"/>
      <c r="L406" s="256"/>
      <c r="M406" s="257"/>
      <c r="N406" s="258"/>
      <c r="O406" s="259"/>
      <c r="P406" s="260"/>
      <c r="Q406" s="260"/>
      <c r="R406" s="260"/>
    </row>
    <row r="407" ht="15.75" customHeight="1">
      <c r="E407" s="251"/>
      <c r="H407" s="252"/>
      <c r="I407" s="253"/>
      <c r="J407" s="254"/>
      <c r="K407" s="255"/>
      <c r="L407" s="256"/>
      <c r="M407" s="257"/>
      <c r="N407" s="258"/>
      <c r="O407" s="259"/>
      <c r="P407" s="260"/>
      <c r="Q407" s="260"/>
      <c r="R407" s="260"/>
    </row>
    <row r="408" ht="15.75" customHeight="1">
      <c r="E408" s="251"/>
      <c r="H408" s="252"/>
      <c r="I408" s="253"/>
      <c r="J408" s="254"/>
      <c r="K408" s="255"/>
      <c r="L408" s="256"/>
      <c r="M408" s="257"/>
      <c r="N408" s="258"/>
      <c r="O408" s="259"/>
      <c r="P408" s="260"/>
      <c r="Q408" s="260"/>
      <c r="R408" s="260"/>
    </row>
    <row r="409" ht="15.75" customHeight="1">
      <c r="E409" s="251"/>
      <c r="H409" s="252"/>
      <c r="I409" s="253"/>
      <c r="J409" s="254"/>
      <c r="K409" s="255"/>
      <c r="L409" s="256"/>
      <c r="M409" s="257"/>
      <c r="N409" s="258"/>
      <c r="O409" s="259"/>
      <c r="P409" s="260"/>
      <c r="Q409" s="260"/>
      <c r="R409" s="260"/>
    </row>
    <row r="410" ht="15.75" customHeight="1">
      <c r="E410" s="251"/>
      <c r="H410" s="252"/>
      <c r="I410" s="253"/>
      <c r="J410" s="254"/>
      <c r="K410" s="255"/>
      <c r="L410" s="256"/>
      <c r="M410" s="257"/>
      <c r="N410" s="258"/>
      <c r="O410" s="259"/>
      <c r="P410" s="260"/>
      <c r="Q410" s="260"/>
      <c r="R410" s="260"/>
    </row>
    <row r="411" ht="15.75" customHeight="1">
      <c r="E411" s="251"/>
      <c r="H411" s="252"/>
      <c r="I411" s="253"/>
      <c r="J411" s="254"/>
      <c r="K411" s="255"/>
      <c r="L411" s="256"/>
      <c r="M411" s="257"/>
      <c r="N411" s="258"/>
      <c r="O411" s="259"/>
      <c r="P411" s="260"/>
      <c r="Q411" s="260"/>
      <c r="R411" s="260"/>
    </row>
    <row r="412" ht="15.75" customHeight="1">
      <c r="E412" s="251"/>
      <c r="H412" s="252"/>
      <c r="I412" s="253"/>
      <c r="J412" s="254"/>
      <c r="K412" s="255"/>
      <c r="L412" s="256"/>
      <c r="M412" s="257"/>
      <c r="N412" s="258"/>
      <c r="O412" s="259"/>
      <c r="P412" s="260"/>
      <c r="Q412" s="260"/>
      <c r="R412" s="260"/>
    </row>
    <row r="413" ht="15.75" customHeight="1">
      <c r="E413" s="251"/>
      <c r="H413" s="252"/>
      <c r="I413" s="253"/>
      <c r="J413" s="254"/>
      <c r="K413" s="255"/>
      <c r="L413" s="256"/>
      <c r="M413" s="257"/>
      <c r="N413" s="258"/>
      <c r="O413" s="259"/>
      <c r="P413" s="260"/>
      <c r="Q413" s="260"/>
      <c r="R413" s="260"/>
    </row>
    <row r="414" ht="15.75" customHeight="1">
      <c r="E414" s="251"/>
      <c r="H414" s="252"/>
      <c r="I414" s="253"/>
      <c r="J414" s="254"/>
      <c r="K414" s="255"/>
      <c r="L414" s="256"/>
      <c r="M414" s="257"/>
      <c r="N414" s="258"/>
      <c r="O414" s="259"/>
      <c r="P414" s="260"/>
      <c r="Q414" s="260"/>
      <c r="R414" s="260"/>
    </row>
    <row r="415" ht="15.75" customHeight="1">
      <c r="E415" s="251"/>
      <c r="H415" s="252"/>
      <c r="I415" s="253"/>
      <c r="J415" s="254"/>
      <c r="K415" s="255"/>
      <c r="L415" s="256"/>
      <c r="M415" s="257"/>
      <c r="N415" s="258"/>
      <c r="O415" s="259"/>
      <c r="P415" s="260"/>
      <c r="Q415" s="260"/>
      <c r="R415" s="260"/>
    </row>
    <row r="416" ht="15.75" customHeight="1">
      <c r="E416" s="251"/>
      <c r="H416" s="252"/>
      <c r="I416" s="253"/>
      <c r="J416" s="254"/>
      <c r="K416" s="255"/>
      <c r="L416" s="256"/>
      <c r="M416" s="257"/>
      <c r="N416" s="258"/>
      <c r="O416" s="259"/>
      <c r="P416" s="260"/>
      <c r="Q416" s="260"/>
      <c r="R416" s="260"/>
    </row>
    <row r="417" ht="15.75" customHeight="1">
      <c r="E417" s="251"/>
      <c r="H417" s="252"/>
      <c r="I417" s="253"/>
      <c r="J417" s="254"/>
      <c r="K417" s="255"/>
      <c r="L417" s="256"/>
      <c r="M417" s="257"/>
      <c r="N417" s="258"/>
      <c r="O417" s="259"/>
      <c r="P417" s="260"/>
      <c r="Q417" s="260"/>
      <c r="R417" s="260"/>
    </row>
    <row r="418" ht="15.75" customHeight="1">
      <c r="E418" s="251"/>
      <c r="H418" s="252"/>
      <c r="I418" s="253"/>
      <c r="J418" s="254"/>
      <c r="K418" s="255"/>
      <c r="L418" s="256"/>
      <c r="M418" s="257"/>
      <c r="N418" s="258"/>
      <c r="O418" s="259"/>
      <c r="P418" s="260"/>
      <c r="Q418" s="260"/>
      <c r="R418" s="260"/>
    </row>
    <row r="419" ht="15.75" customHeight="1">
      <c r="E419" s="251"/>
      <c r="H419" s="252"/>
      <c r="I419" s="253"/>
      <c r="J419" s="254"/>
      <c r="K419" s="255"/>
      <c r="L419" s="256"/>
      <c r="M419" s="257"/>
      <c r="N419" s="258"/>
      <c r="O419" s="259"/>
      <c r="P419" s="260"/>
      <c r="Q419" s="260"/>
      <c r="R419" s="260"/>
    </row>
    <row r="420" ht="15.75" customHeight="1">
      <c r="E420" s="251"/>
      <c r="H420" s="252"/>
      <c r="I420" s="253"/>
      <c r="J420" s="254"/>
      <c r="K420" s="255"/>
      <c r="L420" s="256"/>
      <c r="M420" s="257"/>
      <c r="N420" s="258"/>
      <c r="O420" s="259"/>
      <c r="P420" s="260"/>
      <c r="Q420" s="260"/>
      <c r="R420" s="260"/>
    </row>
    <row r="421" ht="15.75" customHeight="1">
      <c r="E421" s="251"/>
      <c r="H421" s="252"/>
      <c r="I421" s="253"/>
      <c r="J421" s="254"/>
      <c r="K421" s="255"/>
      <c r="L421" s="256"/>
      <c r="M421" s="257"/>
      <c r="N421" s="258"/>
      <c r="O421" s="259"/>
      <c r="P421" s="260"/>
      <c r="Q421" s="260"/>
      <c r="R421" s="260"/>
    </row>
    <row r="422" ht="15.75" customHeight="1">
      <c r="E422" s="251"/>
      <c r="H422" s="252"/>
      <c r="I422" s="253"/>
      <c r="J422" s="254"/>
      <c r="K422" s="255"/>
      <c r="L422" s="256"/>
      <c r="M422" s="257"/>
      <c r="N422" s="258"/>
      <c r="O422" s="259"/>
      <c r="P422" s="260"/>
      <c r="Q422" s="260"/>
      <c r="R422" s="260"/>
    </row>
    <row r="423" ht="15.75" customHeight="1">
      <c r="E423" s="251"/>
      <c r="H423" s="252"/>
      <c r="I423" s="253"/>
      <c r="J423" s="254"/>
      <c r="K423" s="255"/>
      <c r="L423" s="256"/>
      <c r="M423" s="257"/>
      <c r="N423" s="258"/>
      <c r="O423" s="259"/>
      <c r="P423" s="260"/>
      <c r="Q423" s="260"/>
      <c r="R423" s="260"/>
    </row>
    <row r="424" ht="15.75" customHeight="1">
      <c r="E424" s="251"/>
      <c r="H424" s="252"/>
      <c r="I424" s="253"/>
      <c r="J424" s="254"/>
      <c r="K424" s="255"/>
      <c r="L424" s="256"/>
      <c r="M424" s="257"/>
      <c r="N424" s="258"/>
      <c r="O424" s="259"/>
      <c r="P424" s="260"/>
      <c r="Q424" s="260"/>
      <c r="R424" s="260"/>
    </row>
    <row r="425" ht="15.75" customHeight="1">
      <c r="E425" s="251"/>
      <c r="H425" s="252"/>
      <c r="I425" s="253"/>
      <c r="J425" s="254"/>
      <c r="K425" s="255"/>
      <c r="L425" s="256"/>
      <c r="M425" s="257"/>
      <c r="N425" s="258"/>
      <c r="O425" s="259"/>
      <c r="P425" s="260"/>
      <c r="Q425" s="260"/>
      <c r="R425" s="260"/>
    </row>
    <row r="426" ht="15.75" customHeight="1">
      <c r="E426" s="251"/>
      <c r="H426" s="252"/>
      <c r="I426" s="253"/>
      <c r="J426" s="254"/>
      <c r="K426" s="255"/>
      <c r="L426" s="256"/>
      <c r="M426" s="257"/>
      <c r="N426" s="258"/>
      <c r="O426" s="259"/>
      <c r="P426" s="260"/>
      <c r="Q426" s="260"/>
      <c r="R426" s="260"/>
    </row>
    <row r="427" ht="15.75" customHeight="1">
      <c r="E427" s="251"/>
      <c r="H427" s="252"/>
      <c r="I427" s="253"/>
      <c r="J427" s="254"/>
      <c r="K427" s="255"/>
      <c r="L427" s="256"/>
      <c r="M427" s="257"/>
      <c r="N427" s="258"/>
      <c r="O427" s="259"/>
      <c r="P427" s="260"/>
      <c r="Q427" s="260"/>
      <c r="R427" s="260"/>
    </row>
    <row r="428" ht="15.75" customHeight="1">
      <c r="E428" s="251"/>
      <c r="H428" s="252"/>
      <c r="I428" s="253"/>
      <c r="J428" s="254"/>
      <c r="K428" s="255"/>
      <c r="L428" s="256"/>
      <c r="M428" s="257"/>
      <c r="N428" s="258"/>
      <c r="O428" s="259"/>
      <c r="P428" s="260"/>
      <c r="Q428" s="260"/>
      <c r="R428" s="260"/>
    </row>
    <row r="429" ht="15.75" customHeight="1">
      <c r="E429" s="251"/>
      <c r="H429" s="252"/>
      <c r="I429" s="253"/>
      <c r="J429" s="254"/>
      <c r="K429" s="255"/>
      <c r="L429" s="256"/>
      <c r="M429" s="257"/>
      <c r="N429" s="258"/>
      <c r="O429" s="259"/>
      <c r="P429" s="260"/>
      <c r="Q429" s="260"/>
      <c r="R429" s="260"/>
    </row>
    <row r="430" ht="15.75" customHeight="1">
      <c r="E430" s="251"/>
      <c r="H430" s="252"/>
      <c r="I430" s="253"/>
      <c r="J430" s="254"/>
      <c r="K430" s="255"/>
      <c r="L430" s="256"/>
      <c r="M430" s="257"/>
      <c r="N430" s="258"/>
      <c r="O430" s="259"/>
      <c r="P430" s="260"/>
      <c r="Q430" s="260"/>
      <c r="R430" s="260"/>
    </row>
    <row r="431" ht="15.75" customHeight="1">
      <c r="E431" s="251"/>
      <c r="H431" s="252"/>
      <c r="I431" s="253"/>
      <c r="J431" s="254"/>
      <c r="K431" s="255"/>
      <c r="L431" s="256"/>
      <c r="M431" s="257"/>
      <c r="N431" s="258"/>
      <c r="O431" s="259"/>
      <c r="P431" s="260"/>
      <c r="Q431" s="260"/>
      <c r="R431" s="260"/>
    </row>
    <row r="432" ht="15.75" customHeight="1">
      <c r="E432" s="251"/>
      <c r="H432" s="252"/>
      <c r="I432" s="253"/>
      <c r="J432" s="254"/>
      <c r="K432" s="255"/>
      <c r="L432" s="256"/>
      <c r="M432" s="257"/>
      <c r="N432" s="258"/>
      <c r="O432" s="259"/>
      <c r="P432" s="260"/>
      <c r="Q432" s="260"/>
      <c r="R432" s="260"/>
    </row>
    <row r="433" ht="15.75" customHeight="1">
      <c r="E433" s="251"/>
      <c r="H433" s="252"/>
      <c r="I433" s="253"/>
      <c r="J433" s="254"/>
      <c r="K433" s="255"/>
      <c r="L433" s="256"/>
      <c r="M433" s="257"/>
      <c r="N433" s="258"/>
      <c r="O433" s="259"/>
      <c r="P433" s="260"/>
      <c r="Q433" s="260"/>
      <c r="R433" s="260"/>
    </row>
    <row r="434" ht="15.75" customHeight="1">
      <c r="E434" s="251"/>
      <c r="H434" s="252"/>
      <c r="I434" s="253"/>
      <c r="J434" s="254"/>
      <c r="K434" s="255"/>
      <c r="L434" s="256"/>
      <c r="M434" s="257"/>
      <c r="N434" s="258"/>
      <c r="O434" s="259"/>
      <c r="P434" s="260"/>
      <c r="Q434" s="260"/>
      <c r="R434" s="260"/>
    </row>
    <row r="435" ht="15.75" customHeight="1">
      <c r="E435" s="251"/>
      <c r="H435" s="252"/>
      <c r="I435" s="253"/>
      <c r="J435" s="254"/>
      <c r="K435" s="255"/>
      <c r="L435" s="256"/>
      <c r="M435" s="257"/>
      <c r="N435" s="258"/>
      <c r="O435" s="259"/>
      <c r="P435" s="260"/>
      <c r="Q435" s="260"/>
      <c r="R435" s="260"/>
    </row>
    <row r="436" ht="15.75" customHeight="1">
      <c r="E436" s="251"/>
      <c r="H436" s="252"/>
      <c r="I436" s="253"/>
      <c r="J436" s="254"/>
      <c r="K436" s="255"/>
      <c r="L436" s="256"/>
      <c r="M436" s="257"/>
      <c r="N436" s="258"/>
      <c r="O436" s="259"/>
      <c r="P436" s="260"/>
      <c r="Q436" s="260"/>
      <c r="R436" s="260"/>
    </row>
    <row r="437" ht="15.75" customHeight="1">
      <c r="E437" s="251"/>
      <c r="H437" s="252"/>
      <c r="I437" s="253"/>
      <c r="J437" s="254"/>
      <c r="K437" s="255"/>
      <c r="L437" s="256"/>
      <c r="M437" s="257"/>
      <c r="N437" s="258"/>
      <c r="O437" s="259"/>
      <c r="P437" s="260"/>
      <c r="Q437" s="260"/>
      <c r="R437" s="260"/>
    </row>
    <row r="438" ht="15.75" customHeight="1">
      <c r="E438" s="251"/>
      <c r="H438" s="252"/>
      <c r="I438" s="253"/>
      <c r="J438" s="254"/>
      <c r="K438" s="255"/>
      <c r="L438" s="256"/>
      <c r="M438" s="257"/>
      <c r="N438" s="258"/>
      <c r="O438" s="259"/>
      <c r="P438" s="260"/>
      <c r="Q438" s="260"/>
      <c r="R438" s="260"/>
    </row>
    <row r="439" ht="15.75" customHeight="1">
      <c r="E439" s="251"/>
      <c r="H439" s="252"/>
      <c r="I439" s="253"/>
      <c r="J439" s="254"/>
      <c r="K439" s="255"/>
      <c r="L439" s="256"/>
      <c r="M439" s="257"/>
      <c r="N439" s="258"/>
      <c r="O439" s="259"/>
      <c r="P439" s="260"/>
      <c r="Q439" s="260"/>
      <c r="R439" s="260"/>
    </row>
    <row r="440" ht="15.75" customHeight="1">
      <c r="E440" s="251"/>
      <c r="H440" s="252"/>
      <c r="I440" s="253"/>
      <c r="J440" s="254"/>
      <c r="K440" s="255"/>
      <c r="L440" s="256"/>
      <c r="M440" s="257"/>
      <c r="N440" s="258"/>
      <c r="O440" s="259"/>
      <c r="P440" s="260"/>
      <c r="Q440" s="260"/>
      <c r="R440" s="260"/>
    </row>
    <row r="441" ht="15.75" customHeight="1">
      <c r="E441" s="251"/>
      <c r="H441" s="252"/>
      <c r="I441" s="253"/>
      <c r="J441" s="254"/>
      <c r="K441" s="255"/>
      <c r="L441" s="256"/>
      <c r="M441" s="257"/>
      <c r="N441" s="258"/>
      <c r="O441" s="259"/>
      <c r="P441" s="260"/>
      <c r="Q441" s="260"/>
      <c r="R441" s="260"/>
    </row>
    <row r="442" ht="15.75" customHeight="1">
      <c r="E442" s="251"/>
      <c r="H442" s="252"/>
      <c r="I442" s="253"/>
      <c r="J442" s="254"/>
      <c r="K442" s="255"/>
      <c r="L442" s="256"/>
      <c r="M442" s="257"/>
      <c r="N442" s="258"/>
      <c r="O442" s="259"/>
      <c r="P442" s="260"/>
      <c r="Q442" s="260"/>
      <c r="R442" s="260"/>
    </row>
    <row r="443" ht="15.75" customHeight="1">
      <c r="E443" s="251"/>
      <c r="H443" s="252"/>
      <c r="I443" s="253"/>
      <c r="J443" s="254"/>
      <c r="K443" s="255"/>
      <c r="L443" s="256"/>
      <c r="M443" s="257"/>
      <c r="N443" s="258"/>
      <c r="O443" s="259"/>
      <c r="P443" s="260"/>
      <c r="Q443" s="260"/>
      <c r="R443" s="260"/>
    </row>
    <row r="444" ht="15.75" customHeight="1">
      <c r="E444" s="251"/>
      <c r="H444" s="252"/>
      <c r="I444" s="253"/>
      <c r="J444" s="254"/>
      <c r="K444" s="255"/>
      <c r="L444" s="256"/>
      <c r="M444" s="257"/>
      <c r="N444" s="258"/>
      <c r="O444" s="259"/>
      <c r="P444" s="260"/>
      <c r="Q444" s="260"/>
      <c r="R444" s="260"/>
    </row>
    <row r="445" ht="15.75" customHeight="1">
      <c r="E445" s="251"/>
      <c r="H445" s="252"/>
      <c r="I445" s="253"/>
      <c r="J445" s="254"/>
      <c r="K445" s="255"/>
      <c r="L445" s="256"/>
      <c r="M445" s="257"/>
      <c r="N445" s="258"/>
      <c r="O445" s="259"/>
      <c r="P445" s="260"/>
      <c r="Q445" s="260"/>
      <c r="R445" s="260"/>
    </row>
    <row r="446" ht="15.75" customHeight="1">
      <c r="E446" s="251"/>
      <c r="H446" s="252"/>
      <c r="I446" s="253"/>
      <c r="J446" s="254"/>
      <c r="K446" s="255"/>
      <c r="L446" s="256"/>
      <c r="M446" s="257"/>
      <c r="N446" s="258"/>
      <c r="O446" s="259"/>
      <c r="P446" s="260"/>
      <c r="Q446" s="260"/>
      <c r="R446" s="260"/>
    </row>
    <row r="447" ht="15.75" customHeight="1">
      <c r="E447" s="251"/>
      <c r="H447" s="252"/>
      <c r="I447" s="253"/>
      <c r="J447" s="254"/>
      <c r="K447" s="255"/>
      <c r="L447" s="256"/>
      <c r="M447" s="257"/>
      <c r="N447" s="258"/>
      <c r="O447" s="259"/>
      <c r="P447" s="260"/>
      <c r="Q447" s="260"/>
      <c r="R447" s="260"/>
    </row>
    <row r="448" ht="15.75" customHeight="1">
      <c r="E448" s="251"/>
      <c r="H448" s="252"/>
      <c r="I448" s="253"/>
      <c r="J448" s="254"/>
      <c r="K448" s="255"/>
      <c r="L448" s="256"/>
      <c r="M448" s="257"/>
      <c r="N448" s="258"/>
      <c r="O448" s="259"/>
      <c r="P448" s="260"/>
      <c r="Q448" s="260"/>
      <c r="R448" s="260"/>
    </row>
    <row r="449" ht="15.75" customHeight="1">
      <c r="E449" s="251"/>
      <c r="H449" s="252"/>
      <c r="I449" s="253"/>
      <c r="J449" s="254"/>
      <c r="K449" s="255"/>
      <c r="L449" s="256"/>
      <c r="M449" s="257"/>
      <c r="N449" s="258"/>
      <c r="O449" s="259"/>
      <c r="P449" s="260"/>
      <c r="Q449" s="260"/>
      <c r="R449" s="260"/>
    </row>
    <row r="450" ht="15.75" customHeight="1">
      <c r="E450" s="251"/>
      <c r="H450" s="252"/>
      <c r="I450" s="253"/>
      <c r="J450" s="254"/>
      <c r="K450" s="255"/>
      <c r="L450" s="256"/>
      <c r="M450" s="257"/>
      <c r="N450" s="258"/>
      <c r="O450" s="259"/>
      <c r="P450" s="260"/>
      <c r="Q450" s="260"/>
      <c r="R450" s="260"/>
    </row>
    <row r="451" ht="15.75" customHeight="1">
      <c r="E451" s="251"/>
      <c r="H451" s="252"/>
      <c r="I451" s="253"/>
      <c r="J451" s="254"/>
      <c r="K451" s="255"/>
      <c r="L451" s="256"/>
      <c r="M451" s="257"/>
      <c r="N451" s="258"/>
      <c r="O451" s="259"/>
      <c r="P451" s="260"/>
      <c r="Q451" s="260"/>
      <c r="R451" s="260"/>
    </row>
    <row r="452" ht="15.75" customHeight="1">
      <c r="E452" s="251"/>
      <c r="H452" s="252"/>
      <c r="I452" s="253"/>
      <c r="J452" s="254"/>
      <c r="K452" s="255"/>
      <c r="L452" s="256"/>
      <c r="M452" s="257"/>
      <c r="N452" s="258"/>
      <c r="O452" s="259"/>
      <c r="P452" s="260"/>
      <c r="Q452" s="260"/>
      <c r="R452" s="260"/>
    </row>
    <row r="453" ht="15.75" customHeight="1">
      <c r="E453" s="251"/>
      <c r="H453" s="252"/>
      <c r="I453" s="253"/>
      <c r="J453" s="254"/>
      <c r="K453" s="255"/>
      <c r="L453" s="256"/>
      <c r="M453" s="257"/>
      <c r="N453" s="258"/>
      <c r="O453" s="259"/>
      <c r="P453" s="260"/>
      <c r="Q453" s="260"/>
      <c r="R453" s="260"/>
    </row>
    <row r="454" ht="15.75" customHeight="1">
      <c r="E454" s="251"/>
      <c r="H454" s="252"/>
      <c r="I454" s="253"/>
      <c r="J454" s="254"/>
      <c r="K454" s="255"/>
      <c r="L454" s="256"/>
      <c r="M454" s="257"/>
      <c r="N454" s="258"/>
      <c r="O454" s="259"/>
      <c r="P454" s="260"/>
      <c r="Q454" s="260"/>
      <c r="R454" s="260"/>
    </row>
    <row r="455" ht="15.75" customHeight="1">
      <c r="E455" s="251"/>
      <c r="H455" s="252"/>
      <c r="I455" s="253"/>
      <c r="J455" s="254"/>
      <c r="K455" s="255"/>
      <c r="L455" s="256"/>
      <c r="M455" s="257"/>
      <c r="N455" s="258"/>
      <c r="O455" s="259"/>
      <c r="P455" s="260"/>
      <c r="Q455" s="260"/>
      <c r="R455" s="260"/>
    </row>
    <row r="456" ht="15.75" customHeight="1">
      <c r="E456" s="251"/>
      <c r="H456" s="252"/>
      <c r="I456" s="253"/>
      <c r="J456" s="254"/>
      <c r="K456" s="255"/>
      <c r="L456" s="256"/>
      <c r="M456" s="257"/>
      <c r="N456" s="258"/>
      <c r="O456" s="259"/>
      <c r="P456" s="260"/>
      <c r="Q456" s="260"/>
      <c r="R456" s="260"/>
    </row>
    <row r="457" ht="15.75" customHeight="1">
      <c r="E457" s="251"/>
      <c r="H457" s="252"/>
      <c r="I457" s="253"/>
      <c r="J457" s="254"/>
      <c r="K457" s="255"/>
      <c r="L457" s="256"/>
      <c r="M457" s="257"/>
      <c r="N457" s="258"/>
      <c r="O457" s="259"/>
      <c r="P457" s="260"/>
      <c r="Q457" s="260"/>
      <c r="R457" s="260"/>
    </row>
    <row r="458" ht="15.75" customHeight="1">
      <c r="E458" s="251"/>
      <c r="H458" s="252"/>
      <c r="I458" s="253"/>
      <c r="J458" s="254"/>
      <c r="K458" s="255"/>
      <c r="L458" s="256"/>
      <c r="M458" s="257"/>
      <c r="N458" s="258"/>
      <c r="O458" s="259"/>
      <c r="P458" s="260"/>
      <c r="Q458" s="260"/>
      <c r="R458" s="260"/>
    </row>
    <row r="459" ht="15.75" customHeight="1">
      <c r="E459" s="251"/>
      <c r="H459" s="252"/>
      <c r="I459" s="253"/>
      <c r="J459" s="254"/>
      <c r="K459" s="255"/>
      <c r="L459" s="256"/>
      <c r="M459" s="257"/>
      <c r="N459" s="258"/>
      <c r="O459" s="259"/>
      <c r="P459" s="260"/>
      <c r="Q459" s="260"/>
      <c r="R459" s="260"/>
    </row>
    <row r="460" ht="15.75" customHeight="1">
      <c r="E460" s="251"/>
      <c r="H460" s="252"/>
      <c r="I460" s="253"/>
      <c r="J460" s="254"/>
      <c r="K460" s="255"/>
      <c r="L460" s="256"/>
      <c r="M460" s="257"/>
      <c r="N460" s="258"/>
      <c r="O460" s="259"/>
      <c r="P460" s="260"/>
      <c r="Q460" s="260"/>
      <c r="R460" s="260"/>
    </row>
    <row r="461" ht="15.75" customHeight="1">
      <c r="E461" s="251"/>
      <c r="H461" s="252"/>
      <c r="I461" s="253"/>
      <c r="J461" s="254"/>
      <c r="K461" s="255"/>
      <c r="L461" s="256"/>
      <c r="M461" s="257"/>
      <c r="N461" s="258"/>
      <c r="O461" s="259"/>
      <c r="P461" s="260"/>
      <c r="Q461" s="260"/>
      <c r="R461" s="260"/>
    </row>
    <row r="462" ht="15.75" customHeight="1">
      <c r="E462" s="251"/>
      <c r="H462" s="252"/>
      <c r="I462" s="253"/>
      <c r="J462" s="254"/>
      <c r="K462" s="255"/>
      <c r="L462" s="256"/>
      <c r="M462" s="257"/>
      <c r="N462" s="258"/>
      <c r="O462" s="259"/>
      <c r="P462" s="260"/>
      <c r="Q462" s="260"/>
      <c r="R462" s="260"/>
    </row>
    <row r="463" ht="15.75" customHeight="1">
      <c r="E463" s="251"/>
      <c r="H463" s="252"/>
      <c r="I463" s="253"/>
      <c r="J463" s="254"/>
      <c r="K463" s="255"/>
      <c r="L463" s="256"/>
      <c r="M463" s="257"/>
      <c r="N463" s="258"/>
      <c r="O463" s="259"/>
      <c r="P463" s="260"/>
      <c r="Q463" s="260"/>
      <c r="R463" s="260"/>
    </row>
    <row r="464" ht="15.75" customHeight="1">
      <c r="E464" s="251"/>
      <c r="H464" s="252"/>
      <c r="I464" s="253"/>
      <c r="J464" s="254"/>
      <c r="K464" s="255"/>
      <c r="L464" s="256"/>
      <c r="M464" s="257"/>
      <c r="N464" s="258"/>
      <c r="O464" s="259"/>
      <c r="P464" s="260"/>
      <c r="Q464" s="260"/>
      <c r="R464" s="260"/>
    </row>
    <row r="465" ht="15.75" customHeight="1">
      <c r="E465" s="251"/>
      <c r="H465" s="252"/>
      <c r="I465" s="253"/>
      <c r="J465" s="254"/>
      <c r="K465" s="255"/>
      <c r="L465" s="256"/>
      <c r="M465" s="257"/>
      <c r="N465" s="258"/>
      <c r="O465" s="259"/>
      <c r="P465" s="260"/>
      <c r="Q465" s="260"/>
      <c r="R465" s="260"/>
    </row>
    <row r="466" ht="15.75" customHeight="1">
      <c r="E466" s="251"/>
      <c r="H466" s="252"/>
      <c r="I466" s="253"/>
      <c r="J466" s="254"/>
      <c r="K466" s="255"/>
      <c r="L466" s="256"/>
      <c r="M466" s="257"/>
      <c r="N466" s="258"/>
      <c r="O466" s="259"/>
      <c r="P466" s="260"/>
      <c r="Q466" s="260"/>
      <c r="R466" s="260"/>
    </row>
    <row r="467" ht="15.75" customHeight="1">
      <c r="E467" s="251"/>
      <c r="H467" s="252"/>
      <c r="I467" s="253"/>
      <c r="J467" s="254"/>
      <c r="K467" s="255"/>
      <c r="L467" s="256"/>
      <c r="M467" s="257"/>
      <c r="N467" s="258"/>
      <c r="O467" s="259"/>
      <c r="P467" s="260"/>
      <c r="Q467" s="260"/>
      <c r="R467" s="260"/>
    </row>
    <row r="468" ht="15.75" customHeight="1">
      <c r="E468" s="251"/>
      <c r="H468" s="252"/>
      <c r="I468" s="253"/>
      <c r="J468" s="254"/>
      <c r="K468" s="255"/>
      <c r="L468" s="256"/>
      <c r="M468" s="257"/>
      <c r="N468" s="258"/>
      <c r="O468" s="259"/>
      <c r="P468" s="260"/>
      <c r="Q468" s="260"/>
      <c r="R468" s="260"/>
    </row>
    <row r="469" ht="15.75" customHeight="1">
      <c r="E469" s="251"/>
      <c r="H469" s="252"/>
      <c r="I469" s="253"/>
      <c r="J469" s="254"/>
      <c r="K469" s="255"/>
      <c r="L469" s="256"/>
      <c r="M469" s="257"/>
      <c r="N469" s="258"/>
      <c r="O469" s="259"/>
      <c r="P469" s="260"/>
      <c r="Q469" s="260"/>
      <c r="R469" s="260"/>
    </row>
    <row r="470" ht="15.75" customHeight="1">
      <c r="E470" s="251"/>
      <c r="H470" s="252"/>
      <c r="I470" s="253"/>
      <c r="J470" s="254"/>
      <c r="K470" s="255"/>
      <c r="L470" s="256"/>
      <c r="M470" s="257"/>
      <c r="N470" s="258"/>
      <c r="O470" s="259"/>
      <c r="P470" s="260"/>
      <c r="Q470" s="260"/>
      <c r="R470" s="260"/>
    </row>
    <row r="471" ht="15.75" customHeight="1">
      <c r="E471" s="251"/>
      <c r="H471" s="252"/>
      <c r="I471" s="253"/>
      <c r="J471" s="254"/>
      <c r="K471" s="255"/>
      <c r="L471" s="256"/>
      <c r="M471" s="257"/>
      <c r="N471" s="258"/>
      <c r="O471" s="259"/>
      <c r="P471" s="260"/>
      <c r="Q471" s="260"/>
      <c r="R471" s="260"/>
    </row>
    <row r="472" ht="15.75" customHeight="1">
      <c r="E472" s="251"/>
      <c r="H472" s="252"/>
      <c r="I472" s="253"/>
      <c r="J472" s="254"/>
      <c r="K472" s="255"/>
      <c r="L472" s="256"/>
      <c r="M472" s="257"/>
      <c r="N472" s="258"/>
      <c r="O472" s="259"/>
      <c r="P472" s="260"/>
      <c r="Q472" s="260"/>
      <c r="R472" s="260"/>
    </row>
    <row r="473" ht="15.75" customHeight="1">
      <c r="E473" s="251"/>
      <c r="H473" s="252"/>
      <c r="I473" s="253"/>
      <c r="J473" s="254"/>
      <c r="K473" s="255"/>
      <c r="L473" s="256"/>
      <c r="M473" s="257"/>
      <c r="N473" s="258"/>
      <c r="O473" s="259"/>
      <c r="P473" s="260"/>
      <c r="Q473" s="260"/>
      <c r="R473" s="260"/>
    </row>
    <row r="474" ht="15.75" customHeight="1">
      <c r="E474" s="251"/>
      <c r="H474" s="252"/>
      <c r="I474" s="253"/>
      <c r="J474" s="254"/>
      <c r="K474" s="255"/>
      <c r="L474" s="256"/>
      <c r="M474" s="257"/>
      <c r="N474" s="258"/>
      <c r="O474" s="259"/>
      <c r="P474" s="260"/>
      <c r="Q474" s="260"/>
      <c r="R474" s="260"/>
    </row>
    <row r="475" ht="15.75" customHeight="1">
      <c r="E475" s="251"/>
      <c r="H475" s="252"/>
      <c r="I475" s="253"/>
      <c r="J475" s="254"/>
      <c r="K475" s="255"/>
      <c r="L475" s="256"/>
      <c r="M475" s="257"/>
      <c r="N475" s="258"/>
      <c r="O475" s="259"/>
      <c r="P475" s="260"/>
      <c r="Q475" s="260"/>
      <c r="R475" s="260"/>
    </row>
    <row r="476" ht="15.75" customHeight="1">
      <c r="E476" s="251"/>
      <c r="H476" s="252"/>
      <c r="I476" s="253"/>
      <c r="J476" s="254"/>
      <c r="K476" s="255"/>
      <c r="L476" s="256"/>
      <c r="M476" s="257"/>
      <c r="N476" s="258"/>
      <c r="O476" s="259"/>
      <c r="P476" s="260"/>
      <c r="Q476" s="260"/>
      <c r="R476" s="260"/>
    </row>
    <row r="477" ht="15.75" customHeight="1">
      <c r="E477" s="251"/>
      <c r="H477" s="252"/>
      <c r="I477" s="253"/>
      <c r="J477" s="254"/>
      <c r="K477" s="255"/>
      <c r="L477" s="256"/>
      <c r="M477" s="257"/>
      <c r="N477" s="258"/>
      <c r="O477" s="259"/>
      <c r="P477" s="260"/>
      <c r="Q477" s="260"/>
      <c r="R477" s="260"/>
    </row>
    <row r="478" ht="15.75" customHeight="1">
      <c r="E478" s="251"/>
      <c r="H478" s="252"/>
      <c r="I478" s="253"/>
      <c r="J478" s="254"/>
      <c r="K478" s="255"/>
      <c r="L478" s="256"/>
      <c r="M478" s="257"/>
      <c r="N478" s="258"/>
      <c r="O478" s="259"/>
      <c r="P478" s="260"/>
      <c r="Q478" s="260"/>
      <c r="R478" s="260"/>
    </row>
    <row r="479" ht="15.75" customHeight="1">
      <c r="E479" s="251"/>
      <c r="H479" s="252"/>
      <c r="I479" s="253"/>
      <c r="J479" s="254"/>
      <c r="K479" s="255"/>
      <c r="L479" s="256"/>
      <c r="M479" s="257"/>
      <c r="N479" s="258"/>
      <c r="O479" s="259"/>
      <c r="P479" s="260"/>
      <c r="Q479" s="260"/>
      <c r="R479" s="260"/>
    </row>
    <row r="480" ht="15.75" customHeight="1">
      <c r="E480" s="251"/>
      <c r="H480" s="252"/>
      <c r="I480" s="253"/>
      <c r="J480" s="254"/>
      <c r="K480" s="255"/>
      <c r="L480" s="256"/>
      <c r="M480" s="257"/>
      <c r="N480" s="258"/>
      <c r="O480" s="259"/>
      <c r="P480" s="260"/>
      <c r="Q480" s="260"/>
      <c r="R480" s="260"/>
    </row>
    <row r="481" ht="15.75" customHeight="1">
      <c r="E481" s="251"/>
      <c r="H481" s="252"/>
      <c r="I481" s="253"/>
      <c r="J481" s="254"/>
      <c r="K481" s="255"/>
      <c r="L481" s="256"/>
      <c r="M481" s="257"/>
      <c r="N481" s="258"/>
      <c r="O481" s="259"/>
      <c r="P481" s="260"/>
      <c r="Q481" s="260"/>
      <c r="R481" s="260"/>
    </row>
    <row r="482" ht="15.75" customHeight="1">
      <c r="E482" s="251"/>
      <c r="H482" s="252"/>
      <c r="I482" s="253"/>
      <c r="J482" s="254"/>
      <c r="K482" s="255"/>
      <c r="L482" s="256"/>
      <c r="M482" s="257"/>
      <c r="N482" s="258"/>
      <c r="O482" s="259"/>
      <c r="P482" s="260"/>
      <c r="Q482" s="260"/>
      <c r="R482" s="260"/>
    </row>
    <row r="483" ht="15.75" customHeight="1">
      <c r="E483" s="251"/>
      <c r="H483" s="252"/>
      <c r="I483" s="253"/>
      <c r="J483" s="254"/>
      <c r="K483" s="255"/>
      <c r="L483" s="256"/>
      <c r="M483" s="257"/>
      <c r="N483" s="258"/>
      <c r="O483" s="259"/>
      <c r="P483" s="260"/>
      <c r="Q483" s="260"/>
      <c r="R483" s="260"/>
    </row>
    <row r="484" ht="15.75" customHeight="1">
      <c r="E484" s="251"/>
      <c r="H484" s="252"/>
      <c r="I484" s="253"/>
      <c r="J484" s="254"/>
      <c r="K484" s="255"/>
      <c r="L484" s="256"/>
      <c r="M484" s="257"/>
      <c r="N484" s="258"/>
      <c r="O484" s="259"/>
      <c r="P484" s="260"/>
      <c r="Q484" s="260"/>
      <c r="R484" s="260"/>
    </row>
    <row r="485" ht="15.75" customHeight="1">
      <c r="E485" s="251"/>
      <c r="H485" s="252"/>
      <c r="I485" s="253"/>
      <c r="J485" s="254"/>
      <c r="K485" s="255"/>
      <c r="L485" s="256"/>
      <c r="M485" s="257"/>
      <c r="N485" s="258"/>
      <c r="O485" s="259"/>
      <c r="P485" s="260"/>
      <c r="Q485" s="260"/>
      <c r="R485" s="260"/>
    </row>
    <row r="486" ht="15.75" customHeight="1">
      <c r="E486" s="251"/>
      <c r="H486" s="252"/>
      <c r="I486" s="253"/>
      <c r="J486" s="254"/>
      <c r="K486" s="255"/>
      <c r="L486" s="256"/>
      <c r="M486" s="257"/>
      <c r="N486" s="258"/>
      <c r="O486" s="259"/>
      <c r="P486" s="260"/>
      <c r="Q486" s="260"/>
      <c r="R486" s="260"/>
    </row>
    <row r="487" ht="15.75" customHeight="1">
      <c r="E487" s="251"/>
      <c r="H487" s="252"/>
      <c r="I487" s="253"/>
      <c r="J487" s="254"/>
      <c r="K487" s="255"/>
      <c r="L487" s="256"/>
      <c r="M487" s="257"/>
      <c r="N487" s="258"/>
      <c r="O487" s="259"/>
      <c r="P487" s="260"/>
      <c r="Q487" s="260"/>
      <c r="R487" s="260"/>
    </row>
    <row r="488" ht="15.75" customHeight="1">
      <c r="E488" s="251"/>
      <c r="H488" s="252"/>
      <c r="I488" s="253"/>
      <c r="J488" s="254"/>
      <c r="K488" s="255"/>
      <c r="L488" s="256"/>
      <c r="M488" s="257"/>
      <c r="N488" s="258"/>
      <c r="O488" s="259"/>
      <c r="P488" s="260"/>
      <c r="Q488" s="260"/>
      <c r="R488" s="260"/>
    </row>
    <row r="489" ht="15.75" customHeight="1">
      <c r="E489" s="251"/>
      <c r="H489" s="252"/>
      <c r="I489" s="253"/>
      <c r="J489" s="254"/>
      <c r="K489" s="255"/>
      <c r="L489" s="256"/>
      <c r="M489" s="257"/>
      <c r="N489" s="258"/>
      <c r="O489" s="259"/>
      <c r="P489" s="260"/>
      <c r="Q489" s="260"/>
      <c r="R489" s="260"/>
    </row>
    <row r="490" ht="15.75" customHeight="1">
      <c r="E490" s="251"/>
      <c r="H490" s="252"/>
      <c r="I490" s="253"/>
      <c r="J490" s="254"/>
      <c r="K490" s="255"/>
      <c r="L490" s="256"/>
      <c r="M490" s="257"/>
      <c r="N490" s="258"/>
      <c r="O490" s="259"/>
      <c r="P490" s="260"/>
      <c r="Q490" s="260"/>
      <c r="R490" s="260"/>
    </row>
    <row r="491" ht="15.75" customHeight="1">
      <c r="E491" s="251"/>
      <c r="H491" s="252"/>
      <c r="I491" s="253"/>
      <c r="J491" s="254"/>
      <c r="K491" s="255"/>
      <c r="L491" s="256"/>
      <c r="M491" s="257"/>
      <c r="N491" s="258"/>
      <c r="O491" s="259"/>
      <c r="P491" s="260"/>
      <c r="Q491" s="260"/>
      <c r="R491" s="260"/>
    </row>
    <row r="492" ht="15.75" customHeight="1">
      <c r="E492" s="251"/>
      <c r="H492" s="252"/>
      <c r="I492" s="253"/>
      <c r="J492" s="254"/>
      <c r="K492" s="255"/>
      <c r="L492" s="256"/>
      <c r="M492" s="257"/>
      <c r="N492" s="258"/>
      <c r="O492" s="259"/>
      <c r="P492" s="260"/>
      <c r="Q492" s="260"/>
      <c r="R492" s="260"/>
    </row>
    <row r="493" ht="15.75" customHeight="1">
      <c r="E493" s="251"/>
      <c r="H493" s="252"/>
      <c r="I493" s="253"/>
      <c r="J493" s="254"/>
      <c r="K493" s="255"/>
      <c r="L493" s="256"/>
      <c r="M493" s="257"/>
      <c r="N493" s="258"/>
      <c r="O493" s="259"/>
      <c r="P493" s="260"/>
      <c r="Q493" s="260"/>
      <c r="R493" s="260"/>
    </row>
    <row r="494" ht="15.75" customHeight="1">
      <c r="E494" s="251"/>
      <c r="H494" s="252"/>
      <c r="I494" s="253"/>
      <c r="J494" s="254"/>
      <c r="K494" s="255"/>
      <c r="L494" s="256"/>
      <c r="M494" s="257"/>
      <c r="N494" s="258"/>
      <c r="O494" s="259"/>
      <c r="P494" s="260"/>
      <c r="Q494" s="260"/>
      <c r="R494" s="260"/>
    </row>
    <row r="495" ht="15.75" customHeight="1">
      <c r="E495" s="251"/>
      <c r="H495" s="252"/>
      <c r="I495" s="253"/>
      <c r="J495" s="254"/>
      <c r="K495" s="255"/>
      <c r="L495" s="256"/>
      <c r="M495" s="257"/>
      <c r="N495" s="258"/>
      <c r="O495" s="259"/>
      <c r="P495" s="260"/>
      <c r="Q495" s="260"/>
      <c r="R495" s="260"/>
    </row>
    <row r="496" ht="15.75" customHeight="1">
      <c r="E496" s="251"/>
      <c r="H496" s="252"/>
      <c r="I496" s="253"/>
      <c r="J496" s="254"/>
      <c r="K496" s="255"/>
      <c r="L496" s="256"/>
      <c r="M496" s="257"/>
      <c r="N496" s="258"/>
      <c r="O496" s="259"/>
      <c r="P496" s="260"/>
      <c r="Q496" s="260"/>
      <c r="R496" s="260"/>
    </row>
    <row r="497" ht="15.75" customHeight="1">
      <c r="E497" s="251"/>
      <c r="H497" s="252"/>
      <c r="I497" s="253"/>
      <c r="J497" s="254"/>
      <c r="K497" s="255"/>
      <c r="L497" s="256"/>
      <c r="M497" s="257"/>
      <c r="N497" s="258"/>
      <c r="O497" s="259"/>
      <c r="P497" s="260"/>
      <c r="Q497" s="260"/>
      <c r="R497" s="260"/>
    </row>
    <row r="498" ht="15.75" customHeight="1">
      <c r="E498" s="251"/>
      <c r="H498" s="252"/>
      <c r="I498" s="253"/>
      <c r="J498" s="254"/>
      <c r="K498" s="255"/>
      <c r="L498" s="256"/>
      <c r="M498" s="257"/>
      <c r="N498" s="258"/>
      <c r="O498" s="259"/>
      <c r="P498" s="260"/>
      <c r="Q498" s="260"/>
      <c r="R498" s="260"/>
    </row>
    <row r="499" ht="15.75" customHeight="1">
      <c r="E499" s="251"/>
      <c r="H499" s="252"/>
      <c r="I499" s="253"/>
      <c r="J499" s="254"/>
      <c r="K499" s="255"/>
      <c r="L499" s="256"/>
      <c r="M499" s="257"/>
      <c r="N499" s="258"/>
      <c r="O499" s="259"/>
      <c r="P499" s="260"/>
      <c r="Q499" s="260"/>
      <c r="R499" s="260"/>
    </row>
    <row r="500" ht="15.75" customHeight="1">
      <c r="E500" s="251"/>
      <c r="H500" s="252"/>
      <c r="I500" s="253"/>
      <c r="J500" s="254"/>
      <c r="K500" s="255"/>
      <c r="L500" s="256"/>
      <c r="M500" s="257"/>
      <c r="N500" s="258"/>
      <c r="O500" s="259"/>
      <c r="P500" s="260"/>
      <c r="Q500" s="260"/>
      <c r="R500" s="260"/>
    </row>
    <row r="501" ht="15.75" customHeight="1">
      <c r="E501" s="251"/>
      <c r="H501" s="252"/>
      <c r="I501" s="253"/>
      <c r="J501" s="254"/>
      <c r="K501" s="255"/>
      <c r="L501" s="256"/>
      <c r="M501" s="257"/>
      <c r="N501" s="258"/>
      <c r="O501" s="259"/>
      <c r="P501" s="260"/>
      <c r="Q501" s="260"/>
      <c r="R501" s="260"/>
    </row>
    <row r="502" ht="15.75" customHeight="1">
      <c r="E502" s="251"/>
      <c r="H502" s="252"/>
      <c r="I502" s="253"/>
      <c r="J502" s="254"/>
      <c r="K502" s="255"/>
      <c r="L502" s="256"/>
      <c r="M502" s="257"/>
      <c r="N502" s="258"/>
      <c r="O502" s="259"/>
      <c r="P502" s="260"/>
      <c r="Q502" s="260"/>
      <c r="R502" s="260"/>
    </row>
    <row r="503" ht="15.75" customHeight="1">
      <c r="E503" s="251"/>
      <c r="H503" s="252"/>
      <c r="I503" s="253"/>
      <c r="J503" s="254"/>
      <c r="K503" s="255"/>
      <c r="L503" s="256"/>
      <c r="M503" s="257"/>
      <c r="N503" s="258"/>
      <c r="O503" s="259"/>
      <c r="P503" s="260"/>
      <c r="Q503" s="260"/>
      <c r="R503" s="260"/>
    </row>
    <row r="504" ht="15.75" customHeight="1">
      <c r="E504" s="251"/>
      <c r="H504" s="252"/>
      <c r="I504" s="253"/>
      <c r="J504" s="254"/>
      <c r="K504" s="255"/>
      <c r="L504" s="256"/>
      <c r="M504" s="257"/>
      <c r="N504" s="258"/>
      <c r="O504" s="259"/>
      <c r="P504" s="260"/>
      <c r="Q504" s="260"/>
      <c r="R504" s="260"/>
    </row>
    <row r="505" ht="15.75" customHeight="1">
      <c r="E505" s="251"/>
      <c r="H505" s="252"/>
      <c r="I505" s="253"/>
      <c r="J505" s="254"/>
      <c r="K505" s="255"/>
      <c r="L505" s="256"/>
      <c r="M505" s="257"/>
      <c r="N505" s="258"/>
      <c r="O505" s="259"/>
      <c r="P505" s="260"/>
      <c r="Q505" s="260"/>
      <c r="R505" s="260"/>
    </row>
    <row r="506" ht="15.75" customHeight="1">
      <c r="E506" s="251"/>
      <c r="H506" s="252"/>
      <c r="I506" s="253"/>
      <c r="J506" s="254"/>
      <c r="K506" s="255"/>
      <c r="L506" s="256"/>
      <c r="M506" s="257"/>
      <c r="N506" s="258"/>
      <c r="O506" s="259"/>
      <c r="P506" s="260"/>
      <c r="Q506" s="260"/>
      <c r="R506" s="260"/>
    </row>
    <row r="507" ht="15.75" customHeight="1">
      <c r="E507" s="251"/>
      <c r="H507" s="252"/>
      <c r="I507" s="253"/>
      <c r="J507" s="254"/>
      <c r="K507" s="255"/>
      <c r="L507" s="256"/>
      <c r="M507" s="257"/>
      <c r="N507" s="258"/>
      <c r="O507" s="259"/>
      <c r="P507" s="260"/>
      <c r="Q507" s="260"/>
      <c r="R507" s="260"/>
    </row>
    <row r="508" ht="15.75" customHeight="1">
      <c r="E508" s="251"/>
      <c r="H508" s="252"/>
      <c r="I508" s="253"/>
      <c r="J508" s="254"/>
      <c r="K508" s="255"/>
      <c r="L508" s="256"/>
      <c r="M508" s="257"/>
      <c r="N508" s="258"/>
      <c r="O508" s="259"/>
      <c r="P508" s="260"/>
      <c r="Q508" s="260"/>
      <c r="R508" s="260"/>
    </row>
    <row r="509" ht="15.75" customHeight="1">
      <c r="E509" s="251"/>
      <c r="H509" s="252"/>
      <c r="I509" s="253"/>
      <c r="J509" s="254"/>
      <c r="K509" s="255"/>
      <c r="L509" s="256"/>
      <c r="M509" s="257"/>
      <c r="N509" s="258"/>
      <c r="O509" s="259"/>
      <c r="P509" s="260"/>
      <c r="Q509" s="260"/>
      <c r="R509" s="260"/>
    </row>
    <row r="510" ht="15.75" customHeight="1">
      <c r="E510" s="251"/>
      <c r="H510" s="252"/>
      <c r="I510" s="253"/>
      <c r="J510" s="254"/>
      <c r="K510" s="255"/>
      <c r="L510" s="256"/>
      <c r="M510" s="257"/>
      <c r="N510" s="258"/>
      <c r="O510" s="259"/>
      <c r="P510" s="260"/>
      <c r="Q510" s="260"/>
      <c r="R510" s="260"/>
    </row>
    <row r="511" ht="15.75" customHeight="1">
      <c r="E511" s="251"/>
      <c r="H511" s="252"/>
      <c r="I511" s="253"/>
      <c r="J511" s="254"/>
      <c r="K511" s="255"/>
      <c r="L511" s="256"/>
      <c r="M511" s="257"/>
      <c r="N511" s="258"/>
      <c r="O511" s="259"/>
      <c r="P511" s="260"/>
      <c r="Q511" s="260"/>
      <c r="R511" s="260"/>
    </row>
    <row r="512" ht="15.75" customHeight="1">
      <c r="E512" s="251"/>
      <c r="H512" s="252"/>
      <c r="I512" s="253"/>
      <c r="J512" s="254"/>
      <c r="K512" s="255"/>
      <c r="L512" s="256"/>
      <c r="M512" s="257"/>
      <c r="N512" s="258"/>
      <c r="O512" s="259"/>
      <c r="P512" s="260"/>
      <c r="Q512" s="260"/>
      <c r="R512" s="260"/>
    </row>
    <row r="513" ht="15.75" customHeight="1">
      <c r="E513" s="251"/>
      <c r="H513" s="252"/>
      <c r="I513" s="253"/>
      <c r="J513" s="254"/>
      <c r="K513" s="255"/>
      <c r="L513" s="256"/>
      <c r="M513" s="257"/>
      <c r="N513" s="258"/>
      <c r="O513" s="259"/>
      <c r="P513" s="260"/>
      <c r="Q513" s="260"/>
      <c r="R513" s="260"/>
    </row>
    <row r="514" ht="15.75" customHeight="1">
      <c r="E514" s="251"/>
      <c r="H514" s="252"/>
      <c r="I514" s="253"/>
      <c r="J514" s="254"/>
      <c r="K514" s="255"/>
      <c r="L514" s="256"/>
      <c r="M514" s="257"/>
      <c r="N514" s="258"/>
      <c r="O514" s="259"/>
      <c r="P514" s="260"/>
      <c r="Q514" s="260"/>
      <c r="R514" s="260"/>
    </row>
    <row r="515" ht="15.75" customHeight="1">
      <c r="E515" s="251"/>
      <c r="H515" s="252"/>
      <c r="I515" s="253"/>
      <c r="J515" s="254"/>
      <c r="K515" s="255"/>
      <c r="L515" s="256"/>
      <c r="M515" s="257"/>
      <c r="N515" s="258"/>
      <c r="O515" s="259"/>
      <c r="P515" s="260"/>
      <c r="Q515" s="260"/>
      <c r="R515" s="260"/>
    </row>
    <row r="516" ht="15.75" customHeight="1">
      <c r="E516" s="251"/>
      <c r="H516" s="252"/>
      <c r="I516" s="253"/>
      <c r="J516" s="254"/>
      <c r="K516" s="255"/>
      <c r="L516" s="256"/>
      <c r="M516" s="257"/>
      <c r="N516" s="258"/>
      <c r="O516" s="259"/>
      <c r="P516" s="260"/>
      <c r="Q516" s="260"/>
      <c r="R516" s="260"/>
    </row>
    <row r="517" ht="15.75" customHeight="1">
      <c r="E517" s="251"/>
      <c r="H517" s="252"/>
      <c r="I517" s="253"/>
      <c r="J517" s="254"/>
      <c r="K517" s="255"/>
      <c r="L517" s="256"/>
      <c r="M517" s="257"/>
      <c r="N517" s="258"/>
      <c r="O517" s="259"/>
      <c r="P517" s="260"/>
      <c r="Q517" s="260"/>
      <c r="R517" s="260"/>
    </row>
    <row r="518" ht="15.75" customHeight="1">
      <c r="E518" s="251"/>
      <c r="H518" s="252"/>
      <c r="I518" s="253"/>
      <c r="J518" s="254"/>
      <c r="K518" s="255"/>
      <c r="L518" s="256"/>
      <c r="M518" s="257"/>
      <c r="N518" s="258"/>
      <c r="O518" s="259"/>
      <c r="P518" s="260"/>
      <c r="Q518" s="260"/>
      <c r="R518" s="260"/>
    </row>
    <row r="519" ht="15.75" customHeight="1">
      <c r="E519" s="251"/>
      <c r="H519" s="252"/>
      <c r="I519" s="253"/>
      <c r="J519" s="254"/>
      <c r="K519" s="255"/>
      <c r="L519" s="256"/>
      <c r="M519" s="257"/>
      <c r="N519" s="258"/>
      <c r="O519" s="259"/>
      <c r="P519" s="260"/>
      <c r="Q519" s="260"/>
      <c r="R519" s="260"/>
    </row>
    <row r="520" ht="15.75" customHeight="1">
      <c r="E520" s="251"/>
      <c r="H520" s="252"/>
      <c r="I520" s="253"/>
      <c r="J520" s="254"/>
      <c r="K520" s="255"/>
      <c r="L520" s="256"/>
      <c r="M520" s="257"/>
      <c r="N520" s="258"/>
      <c r="O520" s="259"/>
      <c r="P520" s="260"/>
      <c r="Q520" s="260"/>
      <c r="R520" s="260"/>
    </row>
    <row r="521" ht="15.75" customHeight="1">
      <c r="E521" s="251"/>
      <c r="H521" s="252"/>
      <c r="I521" s="253"/>
      <c r="J521" s="254"/>
      <c r="K521" s="255"/>
      <c r="L521" s="256"/>
      <c r="M521" s="257"/>
      <c r="N521" s="258"/>
      <c r="O521" s="259"/>
      <c r="P521" s="260"/>
      <c r="Q521" s="260"/>
      <c r="R521" s="260"/>
    </row>
    <row r="522" ht="15.75" customHeight="1">
      <c r="E522" s="251"/>
      <c r="H522" s="252"/>
      <c r="I522" s="253"/>
      <c r="J522" s="254"/>
      <c r="K522" s="255"/>
      <c r="L522" s="256"/>
      <c r="M522" s="257"/>
      <c r="N522" s="258"/>
      <c r="O522" s="259"/>
      <c r="P522" s="260"/>
      <c r="Q522" s="260"/>
      <c r="R522" s="260"/>
    </row>
    <row r="523" ht="15.75" customHeight="1">
      <c r="E523" s="251"/>
      <c r="H523" s="252"/>
      <c r="I523" s="253"/>
      <c r="J523" s="254"/>
      <c r="K523" s="255"/>
      <c r="L523" s="256"/>
      <c r="M523" s="257"/>
      <c r="N523" s="258"/>
      <c r="O523" s="259"/>
      <c r="P523" s="260"/>
      <c r="Q523" s="260"/>
      <c r="R523" s="260"/>
    </row>
    <row r="524" ht="15.75" customHeight="1">
      <c r="E524" s="251"/>
      <c r="H524" s="252"/>
      <c r="I524" s="253"/>
      <c r="J524" s="254"/>
      <c r="K524" s="255"/>
      <c r="L524" s="256"/>
      <c r="M524" s="257"/>
      <c r="N524" s="258"/>
      <c r="O524" s="259"/>
      <c r="P524" s="260"/>
      <c r="Q524" s="260"/>
      <c r="R524" s="260"/>
    </row>
    <row r="525" ht="15.75" customHeight="1">
      <c r="E525" s="251"/>
      <c r="H525" s="252"/>
      <c r="I525" s="253"/>
      <c r="J525" s="254"/>
      <c r="K525" s="255"/>
      <c r="L525" s="256"/>
      <c r="M525" s="257"/>
      <c r="N525" s="258"/>
      <c r="O525" s="259"/>
      <c r="P525" s="260"/>
      <c r="Q525" s="260"/>
      <c r="R525" s="260"/>
    </row>
    <row r="526" ht="15.75" customHeight="1">
      <c r="E526" s="251"/>
      <c r="H526" s="252"/>
      <c r="I526" s="253"/>
      <c r="J526" s="254"/>
      <c r="K526" s="255"/>
      <c r="L526" s="256"/>
      <c r="M526" s="257"/>
      <c r="N526" s="258"/>
      <c r="O526" s="259"/>
      <c r="P526" s="260"/>
      <c r="Q526" s="260"/>
      <c r="R526" s="260"/>
    </row>
    <row r="527" ht="15.75" customHeight="1">
      <c r="E527" s="251"/>
      <c r="H527" s="252"/>
      <c r="I527" s="253"/>
      <c r="J527" s="254"/>
      <c r="K527" s="255"/>
      <c r="L527" s="256"/>
      <c r="M527" s="257"/>
      <c r="N527" s="258"/>
      <c r="O527" s="259"/>
      <c r="P527" s="260"/>
      <c r="Q527" s="260"/>
      <c r="R527" s="260"/>
    </row>
    <row r="528" ht="15.75" customHeight="1">
      <c r="E528" s="251"/>
      <c r="H528" s="252"/>
      <c r="I528" s="253"/>
      <c r="J528" s="254"/>
      <c r="K528" s="255"/>
      <c r="L528" s="256"/>
      <c r="M528" s="257"/>
      <c r="N528" s="258"/>
      <c r="O528" s="259"/>
      <c r="P528" s="260"/>
      <c r="Q528" s="260"/>
      <c r="R528" s="260"/>
    </row>
    <row r="529" ht="15.75" customHeight="1">
      <c r="E529" s="251"/>
      <c r="H529" s="252"/>
      <c r="I529" s="253"/>
      <c r="J529" s="254"/>
      <c r="K529" s="255"/>
      <c r="L529" s="256"/>
      <c r="M529" s="257"/>
      <c r="N529" s="258"/>
      <c r="O529" s="259"/>
      <c r="P529" s="260"/>
      <c r="Q529" s="260"/>
      <c r="R529" s="260"/>
    </row>
    <row r="530" ht="15.75" customHeight="1">
      <c r="E530" s="251"/>
      <c r="H530" s="252"/>
      <c r="I530" s="253"/>
      <c r="J530" s="254"/>
      <c r="K530" s="255"/>
      <c r="L530" s="256"/>
      <c r="M530" s="257"/>
      <c r="N530" s="258"/>
      <c r="O530" s="259"/>
      <c r="P530" s="260"/>
      <c r="Q530" s="260"/>
      <c r="R530" s="260"/>
    </row>
    <row r="531" ht="15.75" customHeight="1">
      <c r="E531" s="251"/>
      <c r="H531" s="252"/>
      <c r="I531" s="253"/>
      <c r="J531" s="254"/>
      <c r="K531" s="255"/>
      <c r="L531" s="256"/>
      <c r="M531" s="257"/>
      <c r="N531" s="258"/>
      <c r="O531" s="259"/>
      <c r="P531" s="260"/>
      <c r="Q531" s="260"/>
      <c r="R531" s="260"/>
    </row>
    <row r="532" ht="15.75" customHeight="1">
      <c r="E532" s="251"/>
      <c r="H532" s="252"/>
      <c r="I532" s="253"/>
      <c r="J532" s="254"/>
      <c r="K532" s="255"/>
      <c r="L532" s="256"/>
      <c r="M532" s="257"/>
      <c r="N532" s="258"/>
      <c r="O532" s="259"/>
      <c r="P532" s="260"/>
      <c r="Q532" s="260"/>
      <c r="R532" s="260"/>
    </row>
    <row r="533" ht="15.75" customHeight="1">
      <c r="E533" s="251"/>
      <c r="H533" s="252"/>
      <c r="I533" s="253"/>
      <c r="J533" s="254"/>
      <c r="K533" s="255"/>
      <c r="L533" s="256"/>
      <c r="M533" s="257"/>
      <c r="N533" s="258"/>
      <c r="O533" s="259"/>
      <c r="P533" s="260"/>
      <c r="Q533" s="260"/>
      <c r="R533" s="260"/>
    </row>
    <row r="534" ht="15.75" customHeight="1">
      <c r="E534" s="251"/>
      <c r="H534" s="252"/>
      <c r="I534" s="253"/>
      <c r="J534" s="254"/>
      <c r="K534" s="255"/>
      <c r="L534" s="256"/>
      <c r="M534" s="257"/>
      <c r="N534" s="258"/>
      <c r="O534" s="259"/>
      <c r="P534" s="260"/>
      <c r="Q534" s="260"/>
      <c r="R534" s="260"/>
    </row>
    <row r="535" ht="15.75" customHeight="1">
      <c r="E535" s="251"/>
      <c r="H535" s="252"/>
      <c r="I535" s="253"/>
      <c r="J535" s="254"/>
      <c r="K535" s="255"/>
      <c r="L535" s="256"/>
      <c r="M535" s="257"/>
      <c r="N535" s="258"/>
      <c r="O535" s="259"/>
      <c r="P535" s="260"/>
      <c r="Q535" s="260"/>
      <c r="R535" s="260"/>
    </row>
    <row r="536" ht="15.75" customHeight="1">
      <c r="E536" s="251"/>
      <c r="H536" s="252"/>
      <c r="I536" s="253"/>
      <c r="J536" s="254"/>
      <c r="K536" s="255"/>
      <c r="L536" s="256"/>
      <c r="M536" s="257"/>
      <c r="N536" s="258"/>
      <c r="O536" s="259"/>
      <c r="P536" s="260"/>
      <c r="Q536" s="260"/>
      <c r="R536" s="260"/>
    </row>
    <row r="537" ht="15.75" customHeight="1">
      <c r="E537" s="251"/>
      <c r="H537" s="252"/>
      <c r="I537" s="253"/>
      <c r="J537" s="254"/>
      <c r="K537" s="255"/>
      <c r="L537" s="256"/>
      <c r="M537" s="257"/>
      <c r="N537" s="258"/>
      <c r="O537" s="259"/>
      <c r="P537" s="260"/>
      <c r="Q537" s="260"/>
      <c r="R537" s="260"/>
    </row>
    <row r="538" ht="15.75" customHeight="1">
      <c r="E538" s="251"/>
      <c r="H538" s="252"/>
      <c r="I538" s="253"/>
      <c r="J538" s="254"/>
      <c r="K538" s="255"/>
      <c r="L538" s="256"/>
      <c r="M538" s="257"/>
      <c r="N538" s="258"/>
      <c r="O538" s="259"/>
      <c r="P538" s="260"/>
      <c r="Q538" s="260"/>
      <c r="R538" s="260"/>
    </row>
    <row r="539" ht="15.75" customHeight="1">
      <c r="E539" s="251"/>
      <c r="H539" s="252"/>
      <c r="I539" s="253"/>
      <c r="J539" s="254"/>
      <c r="K539" s="255"/>
      <c r="L539" s="256"/>
      <c r="M539" s="257"/>
      <c r="N539" s="258"/>
      <c r="O539" s="259"/>
      <c r="P539" s="260"/>
      <c r="Q539" s="260"/>
      <c r="R539" s="260"/>
    </row>
    <row r="540" ht="15.75" customHeight="1">
      <c r="E540" s="251"/>
      <c r="H540" s="252"/>
      <c r="I540" s="253"/>
      <c r="J540" s="254"/>
      <c r="K540" s="255"/>
      <c r="L540" s="256"/>
      <c r="M540" s="257"/>
      <c r="N540" s="258"/>
      <c r="O540" s="259"/>
      <c r="P540" s="260"/>
      <c r="Q540" s="260"/>
      <c r="R540" s="260"/>
    </row>
    <row r="541" ht="15.75" customHeight="1">
      <c r="E541" s="251"/>
      <c r="H541" s="252"/>
      <c r="I541" s="253"/>
      <c r="J541" s="254"/>
      <c r="K541" s="255"/>
      <c r="L541" s="256"/>
      <c r="M541" s="257"/>
      <c r="N541" s="258"/>
      <c r="O541" s="259"/>
      <c r="P541" s="260"/>
      <c r="Q541" s="260"/>
      <c r="R541" s="260"/>
    </row>
    <row r="542" ht="15.75" customHeight="1">
      <c r="E542" s="251"/>
      <c r="H542" s="252"/>
      <c r="I542" s="253"/>
      <c r="J542" s="254"/>
      <c r="K542" s="255"/>
      <c r="L542" s="256"/>
      <c r="M542" s="257"/>
      <c r="N542" s="258"/>
      <c r="O542" s="259"/>
      <c r="P542" s="260"/>
      <c r="Q542" s="260"/>
      <c r="R542" s="260"/>
    </row>
    <row r="543" ht="15.75" customHeight="1">
      <c r="E543" s="251"/>
      <c r="H543" s="252"/>
      <c r="I543" s="253"/>
      <c r="J543" s="254"/>
      <c r="K543" s="255"/>
      <c r="L543" s="256"/>
      <c r="M543" s="257"/>
      <c r="N543" s="258"/>
      <c r="O543" s="259"/>
      <c r="P543" s="260"/>
      <c r="Q543" s="260"/>
      <c r="R543" s="260"/>
    </row>
    <row r="544" ht="15.75" customHeight="1">
      <c r="E544" s="251"/>
      <c r="H544" s="252"/>
      <c r="I544" s="253"/>
      <c r="J544" s="254"/>
      <c r="K544" s="255"/>
      <c r="L544" s="256"/>
      <c r="M544" s="257"/>
      <c r="N544" s="258"/>
      <c r="O544" s="259"/>
      <c r="P544" s="260"/>
      <c r="Q544" s="260"/>
      <c r="R544" s="260"/>
    </row>
    <row r="545" ht="15.75" customHeight="1">
      <c r="E545" s="251"/>
      <c r="H545" s="252"/>
      <c r="I545" s="253"/>
      <c r="J545" s="254"/>
      <c r="K545" s="255"/>
      <c r="L545" s="256"/>
      <c r="M545" s="257"/>
      <c r="N545" s="258"/>
      <c r="O545" s="259"/>
      <c r="P545" s="260"/>
      <c r="Q545" s="260"/>
      <c r="R545" s="260"/>
    </row>
    <row r="546" ht="15.75" customHeight="1">
      <c r="E546" s="251"/>
      <c r="H546" s="252"/>
      <c r="I546" s="253"/>
      <c r="J546" s="254"/>
      <c r="K546" s="255"/>
      <c r="L546" s="256"/>
      <c r="M546" s="257"/>
      <c r="N546" s="258"/>
      <c r="O546" s="259"/>
      <c r="P546" s="260"/>
      <c r="Q546" s="260"/>
      <c r="R546" s="260"/>
    </row>
    <row r="547" ht="15.75" customHeight="1">
      <c r="E547" s="251"/>
      <c r="H547" s="252"/>
      <c r="I547" s="253"/>
      <c r="J547" s="254"/>
      <c r="K547" s="255"/>
      <c r="L547" s="256"/>
      <c r="M547" s="257"/>
      <c r="N547" s="258"/>
      <c r="O547" s="259"/>
      <c r="P547" s="260"/>
      <c r="Q547" s="260"/>
      <c r="R547" s="260"/>
    </row>
    <row r="548" ht="15.75" customHeight="1">
      <c r="E548" s="251"/>
      <c r="H548" s="252"/>
      <c r="I548" s="253"/>
      <c r="J548" s="254"/>
      <c r="K548" s="255"/>
      <c r="L548" s="256"/>
      <c r="M548" s="257"/>
      <c r="N548" s="258"/>
      <c r="O548" s="259"/>
      <c r="P548" s="260"/>
      <c r="Q548" s="260"/>
      <c r="R548" s="260"/>
    </row>
    <row r="549" ht="15.75" customHeight="1">
      <c r="E549" s="251"/>
      <c r="H549" s="252"/>
      <c r="I549" s="253"/>
      <c r="J549" s="254"/>
      <c r="K549" s="255"/>
      <c r="L549" s="256"/>
      <c r="M549" s="257"/>
      <c r="N549" s="258"/>
      <c r="O549" s="259"/>
      <c r="P549" s="260"/>
      <c r="Q549" s="260"/>
      <c r="R549" s="260"/>
    </row>
    <row r="550" ht="15.75" customHeight="1">
      <c r="E550" s="251"/>
      <c r="H550" s="252"/>
      <c r="I550" s="253"/>
      <c r="J550" s="254"/>
      <c r="K550" s="255"/>
      <c r="L550" s="256"/>
      <c r="M550" s="257"/>
      <c r="N550" s="258"/>
      <c r="O550" s="259"/>
      <c r="P550" s="260"/>
      <c r="Q550" s="260"/>
      <c r="R550" s="260"/>
    </row>
    <row r="551" ht="15.75" customHeight="1">
      <c r="E551" s="251"/>
      <c r="H551" s="252"/>
      <c r="I551" s="253"/>
      <c r="J551" s="254"/>
      <c r="K551" s="255"/>
      <c r="L551" s="256"/>
      <c r="M551" s="257"/>
      <c r="N551" s="258"/>
      <c r="O551" s="259"/>
      <c r="P551" s="260"/>
      <c r="Q551" s="260"/>
      <c r="R551" s="260"/>
    </row>
    <row r="552" ht="15.75" customHeight="1">
      <c r="E552" s="251"/>
      <c r="H552" s="252"/>
      <c r="I552" s="253"/>
      <c r="J552" s="254"/>
      <c r="K552" s="255"/>
      <c r="L552" s="256"/>
      <c r="M552" s="257"/>
      <c r="N552" s="258"/>
      <c r="O552" s="259"/>
      <c r="P552" s="260"/>
      <c r="Q552" s="260"/>
      <c r="R552" s="260"/>
    </row>
    <row r="553" ht="15.75" customHeight="1">
      <c r="E553" s="251"/>
      <c r="H553" s="252"/>
      <c r="I553" s="253"/>
      <c r="J553" s="254"/>
      <c r="K553" s="255"/>
      <c r="L553" s="256"/>
      <c r="M553" s="257"/>
      <c r="N553" s="258"/>
      <c r="O553" s="259"/>
      <c r="P553" s="260"/>
      <c r="Q553" s="260"/>
      <c r="R553" s="260"/>
    </row>
    <row r="554" ht="15.75" customHeight="1">
      <c r="E554" s="251"/>
      <c r="H554" s="252"/>
      <c r="I554" s="253"/>
      <c r="J554" s="254"/>
      <c r="K554" s="255"/>
      <c r="L554" s="256"/>
      <c r="M554" s="257"/>
      <c r="N554" s="258"/>
      <c r="O554" s="259"/>
      <c r="P554" s="260"/>
      <c r="Q554" s="260"/>
      <c r="R554" s="260"/>
    </row>
    <row r="555" ht="15.75" customHeight="1">
      <c r="E555" s="251"/>
      <c r="H555" s="252"/>
      <c r="I555" s="253"/>
      <c r="J555" s="254"/>
      <c r="K555" s="255"/>
      <c r="L555" s="256"/>
      <c r="M555" s="257"/>
      <c r="N555" s="258"/>
      <c r="O555" s="259"/>
      <c r="P555" s="260"/>
      <c r="Q555" s="260"/>
      <c r="R555" s="260"/>
    </row>
    <row r="556" ht="15.75" customHeight="1">
      <c r="E556" s="251"/>
      <c r="H556" s="252"/>
      <c r="I556" s="253"/>
      <c r="J556" s="254"/>
      <c r="K556" s="255"/>
      <c r="L556" s="256"/>
      <c r="M556" s="257"/>
      <c r="N556" s="258"/>
      <c r="O556" s="259"/>
      <c r="P556" s="260"/>
      <c r="Q556" s="260"/>
      <c r="R556" s="260"/>
    </row>
    <row r="557" ht="15.75" customHeight="1">
      <c r="E557" s="251"/>
      <c r="H557" s="252"/>
      <c r="I557" s="253"/>
      <c r="J557" s="254"/>
      <c r="K557" s="255"/>
      <c r="L557" s="256"/>
      <c r="M557" s="257"/>
      <c r="N557" s="258"/>
      <c r="O557" s="259"/>
      <c r="P557" s="260"/>
      <c r="Q557" s="260"/>
      <c r="R557" s="260"/>
    </row>
    <row r="558" ht="15.75" customHeight="1">
      <c r="E558" s="251"/>
      <c r="H558" s="252"/>
      <c r="I558" s="253"/>
      <c r="J558" s="254"/>
      <c r="K558" s="255"/>
      <c r="L558" s="256"/>
      <c r="M558" s="257"/>
      <c r="N558" s="258"/>
      <c r="O558" s="259"/>
      <c r="P558" s="260"/>
      <c r="Q558" s="260"/>
      <c r="R558" s="260"/>
    </row>
    <row r="559" ht="15.75" customHeight="1">
      <c r="E559" s="251"/>
      <c r="H559" s="252"/>
      <c r="I559" s="253"/>
      <c r="J559" s="254"/>
      <c r="K559" s="255"/>
      <c r="L559" s="256"/>
      <c r="M559" s="257"/>
      <c r="N559" s="258"/>
      <c r="O559" s="259"/>
      <c r="P559" s="260"/>
      <c r="Q559" s="260"/>
      <c r="R559" s="260"/>
    </row>
    <row r="560" ht="15.75" customHeight="1">
      <c r="E560" s="251"/>
      <c r="H560" s="252"/>
      <c r="I560" s="253"/>
      <c r="J560" s="254"/>
      <c r="K560" s="255"/>
      <c r="L560" s="256"/>
      <c r="M560" s="257"/>
      <c r="N560" s="258"/>
      <c r="O560" s="259"/>
      <c r="P560" s="260"/>
      <c r="Q560" s="260"/>
      <c r="R560" s="260"/>
    </row>
    <row r="561" ht="15.75" customHeight="1">
      <c r="E561" s="251"/>
      <c r="H561" s="252"/>
      <c r="I561" s="253"/>
      <c r="J561" s="254"/>
      <c r="K561" s="255"/>
      <c r="L561" s="256"/>
      <c r="M561" s="257"/>
      <c r="N561" s="258"/>
      <c r="O561" s="259"/>
      <c r="P561" s="260"/>
      <c r="Q561" s="260"/>
      <c r="R561" s="260"/>
    </row>
    <row r="562" ht="15.75" customHeight="1">
      <c r="E562" s="251"/>
      <c r="H562" s="252"/>
      <c r="I562" s="253"/>
      <c r="J562" s="254"/>
      <c r="K562" s="255"/>
      <c r="L562" s="256"/>
      <c r="M562" s="257"/>
      <c r="N562" s="258"/>
      <c r="O562" s="259"/>
      <c r="P562" s="260"/>
      <c r="Q562" s="260"/>
      <c r="R562" s="260"/>
    </row>
    <row r="563" ht="15.75" customHeight="1">
      <c r="E563" s="251"/>
      <c r="H563" s="252"/>
      <c r="I563" s="253"/>
      <c r="J563" s="254"/>
      <c r="K563" s="255"/>
      <c r="L563" s="256"/>
      <c r="M563" s="257"/>
      <c r="N563" s="258"/>
      <c r="O563" s="259"/>
      <c r="P563" s="260"/>
      <c r="Q563" s="260"/>
      <c r="R563" s="260"/>
    </row>
    <row r="564" ht="15.75" customHeight="1">
      <c r="E564" s="251"/>
      <c r="H564" s="252"/>
      <c r="I564" s="253"/>
      <c r="J564" s="254"/>
      <c r="K564" s="255"/>
      <c r="L564" s="256"/>
      <c r="M564" s="257"/>
      <c r="N564" s="258"/>
      <c r="O564" s="259"/>
      <c r="P564" s="260"/>
      <c r="Q564" s="260"/>
      <c r="R564" s="260"/>
    </row>
    <row r="565" ht="15.75" customHeight="1">
      <c r="E565" s="251"/>
      <c r="H565" s="252"/>
      <c r="I565" s="253"/>
      <c r="J565" s="254"/>
      <c r="K565" s="255"/>
      <c r="L565" s="256"/>
      <c r="M565" s="257"/>
      <c r="N565" s="258"/>
      <c r="O565" s="259"/>
      <c r="P565" s="260"/>
      <c r="Q565" s="260"/>
      <c r="R565" s="260"/>
    </row>
    <row r="566" ht="15.75" customHeight="1">
      <c r="E566" s="251"/>
      <c r="H566" s="252"/>
      <c r="I566" s="253"/>
      <c r="J566" s="254"/>
      <c r="K566" s="255"/>
      <c r="L566" s="256"/>
      <c r="M566" s="257"/>
      <c r="N566" s="258"/>
      <c r="O566" s="259"/>
      <c r="P566" s="260"/>
      <c r="Q566" s="260"/>
      <c r="R566" s="260"/>
    </row>
    <row r="567" ht="15.75" customHeight="1">
      <c r="E567" s="251"/>
      <c r="H567" s="252"/>
      <c r="I567" s="253"/>
      <c r="J567" s="254"/>
      <c r="K567" s="255"/>
      <c r="L567" s="256"/>
      <c r="M567" s="257"/>
      <c r="N567" s="258"/>
      <c r="O567" s="259"/>
      <c r="P567" s="260"/>
      <c r="Q567" s="260"/>
      <c r="R567" s="260"/>
    </row>
    <row r="568" ht="15.75" customHeight="1">
      <c r="E568" s="251"/>
      <c r="H568" s="252"/>
      <c r="I568" s="253"/>
      <c r="J568" s="254"/>
      <c r="K568" s="255"/>
      <c r="L568" s="256"/>
      <c r="M568" s="257"/>
      <c r="N568" s="258"/>
      <c r="O568" s="259"/>
      <c r="P568" s="260"/>
      <c r="Q568" s="260"/>
      <c r="R568" s="260"/>
    </row>
    <row r="569" ht="15.75" customHeight="1">
      <c r="E569" s="251"/>
      <c r="H569" s="252"/>
      <c r="I569" s="253"/>
      <c r="J569" s="254"/>
      <c r="K569" s="255"/>
      <c r="L569" s="256"/>
      <c r="M569" s="257"/>
      <c r="N569" s="258"/>
      <c r="O569" s="259"/>
      <c r="P569" s="260"/>
      <c r="Q569" s="260"/>
      <c r="R569" s="260"/>
    </row>
    <row r="570" ht="15.75" customHeight="1">
      <c r="E570" s="251"/>
      <c r="H570" s="252"/>
      <c r="I570" s="253"/>
      <c r="J570" s="254"/>
      <c r="K570" s="255"/>
      <c r="L570" s="256"/>
      <c r="M570" s="257"/>
      <c r="N570" s="258"/>
      <c r="O570" s="259"/>
      <c r="P570" s="260"/>
      <c r="Q570" s="260"/>
      <c r="R570" s="260"/>
    </row>
    <row r="571" ht="15.75" customHeight="1">
      <c r="E571" s="251"/>
      <c r="H571" s="252"/>
      <c r="I571" s="253"/>
      <c r="J571" s="254"/>
      <c r="K571" s="255"/>
      <c r="L571" s="256"/>
      <c r="M571" s="257"/>
      <c r="N571" s="258"/>
      <c r="O571" s="259"/>
      <c r="P571" s="260"/>
      <c r="Q571" s="260"/>
      <c r="R571" s="260"/>
    </row>
    <row r="572" ht="15.75" customHeight="1">
      <c r="E572" s="251"/>
      <c r="H572" s="252"/>
      <c r="I572" s="253"/>
      <c r="J572" s="254"/>
      <c r="K572" s="255"/>
      <c r="L572" s="256"/>
      <c r="M572" s="257"/>
      <c r="N572" s="258"/>
      <c r="O572" s="259"/>
      <c r="P572" s="260"/>
      <c r="Q572" s="260"/>
      <c r="R572" s="260"/>
    </row>
    <row r="573" ht="15.75" customHeight="1">
      <c r="E573" s="251"/>
      <c r="H573" s="252"/>
      <c r="I573" s="253"/>
      <c r="J573" s="254"/>
      <c r="K573" s="255"/>
      <c r="L573" s="256"/>
      <c r="M573" s="257"/>
      <c r="N573" s="258"/>
      <c r="O573" s="259"/>
      <c r="P573" s="260"/>
      <c r="Q573" s="260"/>
      <c r="R573" s="260"/>
    </row>
    <row r="574" ht="15.75" customHeight="1">
      <c r="E574" s="251"/>
      <c r="H574" s="252"/>
      <c r="I574" s="253"/>
      <c r="J574" s="254"/>
      <c r="K574" s="255"/>
      <c r="L574" s="256"/>
      <c r="M574" s="257"/>
      <c r="N574" s="258"/>
      <c r="O574" s="259"/>
      <c r="P574" s="260"/>
      <c r="Q574" s="260"/>
      <c r="R574" s="260"/>
    </row>
    <row r="575" ht="15.75" customHeight="1">
      <c r="E575" s="251"/>
      <c r="H575" s="252"/>
      <c r="I575" s="253"/>
      <c r="J575" s="254"/>
      <c r="K575" s="255"/>
      <c r="L575" s="256"/>
      <c r="M575" s="257"/>
      <c r="N575" s="258"/>
      <c r="O575" s="259"/>
      <c r="P575" s="260"/>
      <c r="Q575" s="260"/>
      <c r="R575" s="260"/>
    </row>
    <row r="576" ht="15.75" customHeight="1">
      <c r="E576" s="251"/>
      <c r="H576" s="252"/>
      <c r="I576" s="253"/>
      <c r="J576" s="254"/>
      <c r="K576" s="255"/>
      <c r="L576" s="256"/>
      <c r="M576" s="257"/>
      <c r="N576" s="258"/>
      <c r="O576" s="259"/>
      <c r="P576" s="260"/>
      <c r="Q576" s="260"/>
      <c r="R576" s="260"/>
    </row>
    <row r="577" ht="15.75" customHeight="1">
      <c r="E577" s="251"/>
      <c r="H577" s="252"/>
      <c r="I577" s="253"/>
      <c r="J577" s="254"/>
      <c r="K577" s="255"/>
      <c r="L577" s="256"/>
      <c r="M577" s="257"/>
      <c r="N577" s="258"/>
      <c r="O577" s="259"/>
      <c r="P577" s="260"/>
      <c r="Q577" s="260"/>
      <c r="R577" s="260"/>
    </row>
    <row r="578" ht="15.75" customHeight="1">
      <c r="E578" s="251"/>
      <c r="H578" s="252"/>
      <c r="I578" s="253"/>
      <c r="J578" s="254"/>
      <c r="K578" s="255"/>
      <c r="L578" s="256"/>
      <c r="M578" s="257"/>
      <c r="N578" s="258"/>
      <c r="O578" s="259"/>
      <c r="P578" s="260"/>
      <c r="Q578" s="260"/>
      <c r="R578" s="260"/>
    </row>
    <row r="579" ht="15.75" customHeight="1">
      <c r="E579" s="251"/>
      <c r="H579" s="252"/>
      <c r="I579" s="253"/>
      <c r="J579" s="254"/>
      <c r="K579" s="255"/>
      <c r="L579" s="256"/>
      <c r="M579" s="257"/>
      <c r="N579" s="258"/>
      <c r="O579" s="259"/>
      <c r="P579" s="260"/>
      <c r="Q579" s="260"/>
      <c r="R579" s="260"/>
    </row>
    <row r="580" ht="15.75" customHeight="1">
      <c r="E580" s="251"/>
      <c r="H580" s="252"/>
      <c r="I580" s="253"/>
      <c r="J580" s="254"/>
      <c r="K580" s="255"/>
      <c r="L580" s="256"/>
      <c r="M580" s="257"/>
      <c r="N580" s="258"/>
      <c r="O580" s="259"/>
      <c r="P580" s="260"/>
      <c r="Q580" s="260"/>
      <c r="R580" s="260"/>
    </row>
    <row r="581" ht="15.75" customHeight="1">
      <c r="E581" s="251"/>
      <c r="H581" s="252"/>
      <c r="I581" s="253"/>
      <c r="J581" s="254"/>
      <c r="K581" s="255"/>
      <c r="L581" s="256"/>
      <c r="M581" s="257"/>
      <c r="N581" s="258"/>
      <c r="O581" s="259"/>
      <c r="P581" s="260"/>
      <c r="Q581" s="260"/>
      <c r="R581" s="260"/>
    </row>
    <row r="582" ht="15.75" customHeight="1">
      <c r="E582" s="251"/>
      <c r="H582" s="252"/>
      <c r="I582" s="253"/>
      <c r="J582" s="254"/>
      <c r="K582" s="255"/>
      <c r="L582" s="256"/>
      <c r="M582" s="257"/>
      <c r="N582" s="258"/>
      <c r="O582" s="259"/>
      <c r="P582" s="260"/>
      <c r="Q582" s="260"/>
      <c r="R582" s="260"/>
    </row>
    <row r="583" ht="15.75" customHeight="1">
      <c r="E583" s="251"/>
      <c r="H583" s="252"/>
      <c r="I583" s="253"/>
      <c r="J583" s="254"/>
      <c r="K583" s="255"/>
      <c r="L583" s="256"/>
      <c r="M583" s="257"/>
      <c r="N583" s="258"/>
      <c r="O583" s="259"/>
      <c r="P583" s="260"/>
      <c r="Q583" s="260"/>
      <c r="R583" s="260"/>
    </row>
    <row r="584" ht="15.75" customHeight="1">
      <c r="E584" s="251"/>
      <c r="H584" s="252"/>
      <c r="I584" s="253"/>
      <c r="J584" s="254"/>
      <c r="K584" s="255"/>
      <c r="L584" s="256"/>
      <c r="M584" s="257"/>
      <c r="N584" s="258"/>
      <c r="O584" s="259"/>
      <c r="P584" s="260"/>
      <c r="Q584" s="260"/>
      <c r="R584" s="260"/>
    </row>
    <row r="585" ht="15.75" customHeight="1">
      <c r="E585" s="251"/>
      <c r="H585" s="252"/>
      <c r="I585" s="253"/>
      <c r="J585" s="254"/>
      <c r="K585" s="255"/>
      <c r="L585" s="256"/>
      <c r="M585" s="257"/>
      <c r="N585" s="258"/>
      <c r="O585" s="259"/>
      <c r="P585" s="260"/>
      <c r="Q585" s="260"/>
      <c r="R585" s="260"/>
    </row>
    <row r="586" ht="15.75" customHeight="1">
      <c r="E586" s="251"/>
      <c r="H586" s="252"/>
      <c r="I586" s="253"/>
      <c r="J586" s="254"/>
      <c r="K586" s="255"/>
      <c r="L586" s="256"/>
      <c r="M586" s="257"/>
      <c r="N586" s="258"/>
      <c r="O586" s="259"/>
      <c r="P586" s="260"/>
      <c r="Q586" s="260"/>
      <c r="R586" s="260"/>
    </row>
    <row r="587" ht="15.75" customHeight="1">
      <c r="E587" s="251"/>
      <c r="H587" s="252"/>
      <c r="I587" s="253"/>
      <c r="J587" s="254"/>
      <c r="K587" s="255"/>
      <c r="L587" s="256"/>
      <c r="M587" s="257"/>
      <c r="N587" s="258"/>
      <c r="O587" s="259"/>
      <c r="P587" s="260"/>
      <c r="Q587" s="260"/>
      <c r="R587" s="260"/>
    </row>
    <row r="588" ht="15.75" customHeight="1">
      <c r="E588" s="251"/>
      <c r="H588" s="252"/>
      <c r="I588" s="253"/>
      <c r="J588" s="254"/>
      <c r="K588" s="255"/>
      <c r="L588" s="256"/>
      <c r="M588" s="257"/>
      <c r="N588" s="258"/>
      <c r="O588" s="259"/>
      <c r="P588" s="260"/>
      <c r="Q588" s="260"/>
      <c r="R588" s="260"/>
    </row>
    <row r="589" ht="15.75" customHeight="1">
      <c r="E589" s="251"/>
      <c r="H589" s="252"/>
      <c r="I589" s="253"/>
      <c r="J589" s="254"/>
      <c r="K589" s="255"/>
      <c r="L589" s="256"/>
      <c r="M589" s="257"/>
      <c r="N589" s="258"/>
      <c r="O589" s="259"/>
      <c r="P589" s="260"/>
      <c r="Q589" s="260"/>
      <c r="R589" s="260"/>
    </row>
    <row r="590" ht="15.75" customHeight="1">
      <c r="E590" s="251"/>
      <c r="H590" s="252"/>
      <c r="I590" s="253"/>
      <c r="J590" s="254"/>
      <c r="K590" s="255"/>
      <c r="L590" s="256"/>
      <c r="M590" s="257"/>
      <c r="N590" s="258"/>
      <c r="O590" s="259"/>
      <c r="P590" s="260"/>
      <c r="Q590" s="260"/>
      <c r="R590" s="260"/>
    </row>
    <row r="591" ht="15.75" customHeight="1">
      <c r="E591" s="251"/>
      <c r="H591" s="252"/>
      <c r="I591" s="253"/>
      <c r="J591" s="254"/>
      <c r="K591" s="255"/>
      <c r="L591" s="256"/>
      <c r="M591" s="257"/>
      <c r="N591" s="258"/>
      <c r="O591" s="259"/>
      <c r="P591" s="260"/>
      <c r="Q591" s="260"/>
      <c r="R591" s="260"/>
    </row>
    <row r="592" ht="15.75" customHeight="1">
      <c r="E592" s="251"/>
      <c r="H592" s="252"/>
      <c r="I592" s="253"/>
      <c r="J592" s="254"/>
      <c r="K592" s="255"/>
      <c r="L592" s="256"/>
      <c r="M592" s="257"/>
      <c r="N592" s="258"/>
      <c r="O592" s="259"/>
      <c r="P592" s="260"/>
      <c r="Q592" s="260"/>
      <c r="R592" s="260"/>
    </row>
    <row r="593" ht="15.75" customHeight="1">
      <c r="E593" s="251"/>
      <c r="H593" s="252"/>
      <c r="I593" s="253"/>
      <c r="J593" s="254"/>
      <c r="K593" s="255"/>
      <c r="L593" s="256"/>
      <c r="M593" s="257"/>
      <c r="N593" s="258"/>
      <c r="O593" s="259"/>
      <c r="P593" s="260"/>
      <c r="Q593" s="260"/>
      <c r="R593" s="260"/>
    </row>
    <row r="594" ht="15.75" customHeight="1">
      <c r="E594" s="251"/>
      <c r="H594" s="252"/>
      <c r="I594" s="253"/>
      <c r="J594" s="254"/>
      <c r="K594" s="255"/>
      <c r="L594" s="256"/>
      <c r="M594" s="257"/>
      <c r="N594" s="258"/>
      <c r="O594" s="259"/>
      <c r="P594" s="260"/>
      <c r="Q594" s="260"/>
      <c r="R594" s="260"/>
    </row>
    <row r="595" ht="15.75" customHeight="1">
      <c r="E595" s="251"/>
      <c r="H595" s="252"/>
      <c r="I595" s="253"/>
      <c r="J595" s="254"/>
      <c r="K595" s="255"/>
      <c r="L595" s="256"/>
      <c r="M595" s="257"/>
      <c r="N595" s="258"/>
      <c r="O595" s="259"/>
      <c r="P595" s="260"/>
      <c r="Q595" s="260"/>
      <c r="R595" s="260"/>
    </row>
    <row r="596" ht="15.75" customHeight="1">
      <c r="E596" s="251"/>
      <c r="H596" s="252"/>
      <c r="I596" s="253"/>
      <c r="J596" s="254"/>
      <c r="K596" s="255"/>
      <c r="L596" s="256"/>
      <c r="M596" s="257"/>
      <c r="N596" s="258"/>
      <c r="O596" s="259"/>
      <c r="P596" s="260"/>
      <c r="Q596" s="260"/>
      <c r="R596" s="260"/>
    </row>
    <row r="597" ht="15.75" customHeight="1">
      <c r="E597" s="251"/>
      <c r="H597" s="252"/>
      <c r="I597" s="253"/>
      <c r="J597" s="254"/>
      <c r="K597" s="255"/>
      <c r="L597" s="256"/>
      <c r="M597" s="257"/>
      <c r="N597" s="258"/>
      <c r="O597" s="259"/>
      <c r="P597" s="260"/>
      <c r="Q597" s="260"/>
      <c r="R597" s="260"/>
    </row>
    <row r="598" ht="15.75" customHeight="1">
      <c r="E598" s="251"/>
      <c r="H598" s="252"/>
      <c r="I598" s="253"/>
      <c r="J598" s="254"/>
      <c r="K598" s="255"/>
      <c r="L598" s="256"/>
      <c r="M598" s="257"/>
      <c r="N598" s="258"/>
      <c r="O598" s="259"/>
      <c r="P598" s="260"/>
      <c r="Q598" s="260"/>
      <c r="R598" s="260"/>
    </row>
    <row r="599" ht="15.75" customHeight="1">
      <c r="E599" s="251"/>
      <c r="H599" s="252"/>
      <c r="I599" s="253"/>
      <c r="J599" s="254"/>
      <c r="K599" s="255"/>
      <c r="L599" s="256"/>
      <c r="M599" s="257"/>
      <c r="N599" s="258"/>
      <c r="O599" s="259"/>
      <c r="P599" s="260"/>
      <c r="Q599" s="260"/>
      <c r="R599" s="260"/>
    </row>
    <row r="600" ht="15.75" customHeight="1">
      <c r="E600" s="251"/>
      <c r="H600" s="252"/>
      <c r="I600" s="253"/>
      <c r="J600" s="254"/>
      <c r="K600" s="255"/>
      <c r="L600" s="256"/>
      <c r="M600" s="257"/>
      <c r="N600" s="258"/>
      <c r="O600" s="259"/>
      <c r="P600" s="260"/>
      <c r="Q600" s="260"/>
      <c r="R600" s="260"/>
    </row>
    <row r="601" ht="15.75" customHeight="1">
      <c r="E601" s="251"/>
      <c r="H601" s="252"/>
      <c r="I601" s="253"/>
      <c r="J601" s="254"/>
      <c r="K601" s="255"/>
      <c r="L601" s="256"/>
      <c r="M601" s="257"/>
      <c r="N601" s="258"/>
      <c r="O601" s="259"/>
      <c r="P601" s="260"/>
      <c r="Q601" s="260"/>
      <c r="R601" s="260"/>
    </row>
    <row r="602" ht="15.75" customHeight="1">
      <c r="E602" s="251"/>
      <c r="H602" s="252"/>
      <c r="I602" s="253"/>
      <c r="J602" s="254"/>
      <c r="K602" s="255"/>
      <c r="L602" s="256"/>
      <c r="M602" s="257"/>
      <c r="N602" s="258"/>
      <c r="O602" s="259"/>
      <c r="P602" s="260"/>
      <c r="Q602" s="260"/>
      <c r="R602" s="260"/>
    </row>
    <row r="603" ht="15.75" customHeight="1">
      <c r="E603" s="251"/>
      <c r="H603" s="252"/>
      <c r="I603" s="253"/>
      <c r="J603" s="254"/>
      <c r="K603" s="255"/>
      <c r="L603" s="256"/>
      <c r="M603" s="257"/>
      <c r="N603" s="258"/>
      <c r="O603" s="259"/>
      <c r="P603" s="260"/>
      <c r="Q603" s="260"/>
      <c r="R603" s="260"/>
    </row>
    <row r="604" ht="15.75" customHeight="1">
      <c r="E604" s="251"/>
      <c r="H604" s="252"/>
      <c r="I604" s="253"/>
      <c r="J604" s="254"/>
      <c r="K604" s="255"/>
      <c r="L604" s="256"/>
      <c r="M604" s="257"/>
      <c r="N604" s="258"/>
      <c r="O604" s="259"/>
      <c r="P604" s="260"/>
      <c r="Q604" s="260"/>
      <c r="R604" s="260"/>
    </row>
    <row r="605" ht="15.75" customHeight="1">
      <c r="E605" s="251"/>
      <c r="H605" s="252"/>
      <c r="I605" s="253"/>
      <c r="J605" s="254"/>
      <c r="K605" s="255"/>
      <c r="L605" s="256"/>
      <c r="M605" s="257"/>
      <c r="N605" s="258"/>
      <c r="O605" s="259"/>
      <c r="P605" s="260"/>
      <c r="Q605" s="260"/>
      <c r="R605" s="260"/>
    </row>
    <row r="606" ht="15.75" customHeight="1">
      <c r="E606" s="251"/>
      <c r="H606" s="252"/>
      <c r="I606" s="253"/>
      <c r="J606" s="254"/>
      <c r="K606" s="255"/>
      <c r="L606" s="256"/>
      <c r="M606" s="257"/>
      <c r="N606" s="258"/>
      <c r="O606" s="259"/>
      <c r="P606" s="260"/>
      <c r="Q606" s="260"/>
      <c r="R606" s="260"/>
    </row>
    <row r="607" ht="15.75" customHeight="1">
      <c r="E607" s="251"/>
      <c r="H607" s="252"/>
      <c r="I607" s="253"/>
      <c r="J607" s="254"/>
      <c r="K607" s="255"/>
      <c r="L607" s="256"/>
      <c r="M607" s="257"/>
      <c r="N607" s="258"/>
      <c r="O607" s="259"/>
      <c r="P607" s="260"/>
      <c r="Q607" s="260"/>
      <c r="R607" s="260"/>
    </row>
    <row r="608" ht="15.75" customHeight="1">
      <c r="E608" s="251"/>
      <c r="H608" s="252"/>
      <c r="I608" s="253"/>
      <c r="J608" s="254"/>
      <c r="K608" s="255"/>
      <c r="L608" s="256"/>
      <c r="M608" s="257"/>
      <c r="N608" s="258"/>
      <c r="O608" s="259"/>
      <c r="P608" s="260"/>
      <c r="Q608" s="260"/>
      <c r="R608" s="260"/>
    </row>
    <row r="609" ht="15.75" customHeight="1">
      <c r="E609" s="251"/>
      <c r="H609" s="252"/>
      <c r="I609" s="253"/>
      <c r="J609" s="254"/>
      <c r="K609" s="255"/>
      <c r="L609" s="256"/>
      <c r="M609" s="257"/>
      <c r="N609" s="258"/>
      <c r="O609" s="259"/>
      <c r="P609" s="260"/>
      <c r="Q609" s="260"/>
      <c r="R609" s="260"/>
    </row>
    <row r="610" ht="15.75" customHeight="1">
      <c r="E610" s="251"/>
      <c r="H610" s="252"/>
      <c r="I610" s="253"/>
      <c r="J610" s="254"/>
      <c r="K610" s="255"/>
      <c r="L610" s="256"/>
      <c r="M610" s="257"/>
      <c r="N610" s="258"/>
      <c r="O610" s="259"/>
      <c r="P610" s="260"/>
      <c r="Q610" s="260"/>
      <c r="R610" s="260"/>
    </row>
    <row r="611" ht="15.75" customHeight="1">
      <c r="E611" s="251"/>
      <c r="H611" s="252"/>
      <c r="I611" s="253"/>
      <c r="J611" s="254"/>
      <c r="K611" s="255"/>
      <c r="L611" s="256"/>
      <c r="M611" s="257"/>
      <c r="N611" s="258"/>
      <c r="O611" s="259"/>
      <c r="P611" s="260"/>
      <c r="Q611" s="260"/>
      <c r="R611" s="260"/>
    </row>
    <row r="612" ht="15.75" customHeight="1">
      <c r="E612" s="251"/>
      <c r="H612" s="252"/>
      <c r="I612" s="253"/>
      <c r="J612" s="254"/>
      <c r="K612" s="255"/>
      <c r="L612" s="256"/>
      <c r="M612" s="257"/>
      <c r="N612" s="258"/>
      <c r="O612" s="259"/>
      <c r="P612" s="260"/>
      <c r="Q612" s="260"/>
      <c r="R612" s="260"/>
    </row>
    <row r="613" ht="15.75" customHeight="1">
      <c r="E613" s="251"/>
      <c r="H613" s="252"/>
      <c r="I613" s="253"/>
      <c r="J613" s="254"/>
      <c r="K613" s="255"/>
      <c r="L613" s="256"/>
      <c r="M613" s="257"/>
      <c r="N613" s="258"/>
      <c r="O613" s="259"/>
      <c r="P613" s="260"/>
      <c r="Q613" s="260"/>
      <c r="R613" s="260"/>
    </row>
    <row r="614" ht="15.75" customHeight="1">
      <c r="E614" s="251"/>
      <c r="H614" s="252"/>
      <c r="I614" s="253"/>
      <c r="J614" s="254"/>
      <c r="K614" s="255"/>
      <c r="L614" s="256"/>
      <c r="M614" s="257"/>
      <c r="N614" s="258"/>
      <c r="O614" s="259"/>
      <c r="P614" s="260"/>
      <c r="Q614" s="260"/>
      <c r="R614" s="260"/>
    </row>
    <row r="615" ht="15.75" customHeight="1">
      <c r="E615" s="251"/>
      <c r="H615" s="252"/>
      <c r="I615" s="253"/>
      <c r="J615" s="254"/>
      <c r="K615" s="255"/>
      <c r="L615" s="256"/>
      <c r="M615" s="257"/>
      <c r="N615" s="258"/>
      <c r="O615" s="259"/>
      <c r="P615" s="260"/>
      <c r="Q615" s="260"/>
      <c r="R615" s="260"/>
    </row>
    <row r="616" ht="15.75" customHeight="1">
      <c r="E616" s="251"/>
      <c r="H616" s="252"/>
      <c r="I616" s="253"/>
      <c r="J616" s="254"/>
      <c r="K616" s="255"/>
      <c r="L616" s="256"/>
      <c r="M616" s="257"/>
      <c r="N616" s="258"/>
      <c r="O616" s="259"/>
      <c r="P616" s="260"/>
      <c r="Q616" s="260"/>
      <c r="R616" s="260"/>
    </row>
    <row r="617" ht="15.75" customHeight="1">
      <c r="E617" s="251"/>
      <c r="H617" s="252"/>
      <c r="I617" s="253"/>
      <c r="J617" s="254"/>
      <c r="K617" s="255"/>
      <c r="L617" s="256"/>
      <c r="M617" s="257"/>
      <c r="N617" s="258"/>
      <c r="O617" s="259"/>
      <c r="P617" s="260"/>
      <c r="Q617" s="260"/>
      <c r="R617" s="260"/>
    </row>
    <row r="618" ht="15.75" customHeight="1">
      <c r="E618" s="251"/>
      <c r="H618" s="252"/>
      <c r="I618" s="253"/>
      <c r="J618" s="254"/>
      <c r="K618" s="255"/>
      <c r="L618" s="256"/>
      <c r="M618" s="257"/>
      <c r="N618" s="258"/>
      <c r="O618" s="259"/>
      <c r="P618" s="260"/>
      <c r="Q618" s="260"/>
      <c r="R618" s="260"/>
    </row>
    <row r="619" ht="15.75" customHeight="1">
      <c r="E619" s="251"/>
      <c r="H619" s="252"/>
      <c r="I619" s="253"/>
      <c r="J619" s="254"/>
      <c r="K619" s="255"/>
      <c r="L619" s="256"/>
      <c r="M619" s="257"/>
      <c r="N619" s="258"/>
      <c r="O619" s="259"/>
      <c r="P619" s="260"/>
      <c r="Q619" s="260"/>
      <c r="R619" s="260"/>
    </row>
    <row r="620" ht="15.75" customHeight="1">
      <c r="E620" s="251"/>
      <c r="H620" s="252"/>
      <c r="I620" s="253"/>
      <c r="J620" s="254"/>
      <c r="K620" s="255"/>
      <c r="L620" s="256"/>
      <c r="M620" s="257"/>
      <c r="N620" s="258"/>
      <c r="O620" s="259"/>
      <c r="P620" s="260"/>
      <c r="Q620" s="260"/>
      <c r="R620" s="260"/>
    </row>
    <row r="621" ht="15.75" customHeight="1">
      <c r="E621" s="251"/>
      <c r="H621" s="252"/>
      <c r="I621" s="253"/>
      <c r="J621" s="254"/>
      <c r="K621" s="255"/>
      <c r="L621" s="256"/>
      <c r="M621" s="257"/>
      <c r="N621" s="258"/>
      <c r="O621" s="259"/>
      <c r="P621" s="260"/>
      <c r="Q621" s="260"/>
      <c r="R621" s="260"/>
    </row>
    <row r="622" ht="15.75" customHeight="1">
      <c r="E622" s="251"/>
      <c r="H622" s="252"/>
      <c r="I622" s="253"/>
      <c r="J622" s="254"/>
      <c r="K622" s="255"/>
      <c r="L622" s="256"/>
      <c r="M622" s="257"/>
      <c r="N622" s="258"/>
      <c r="O622" s="259"/>
      <c r="P622" s="260"/>
      <c r="Q622" s="260"/>
      <c r="R622" s="260"/>
    </row>
    <row r="623" ht="15.75" customHeight="1">
      <c r="E623" s="251"/>
      <c r="H623" s="252"/>
      <c r="I623" s="253"/>
      <c r="J623" s="254"/>
      <c r="K623" s="255"/>
      <c r="L623" s="256"/>
      <c r="M623" s="257"/>
      <c r="N623" s="258"/>
      <c r="O623" s="259"/>
      <c r="P623" s="260"/>
      <c r="Q623" s="260"/>
      <c r="R623" s="260"/>
    </row>
    <row r="624" ht="15.75" customHeight="1">
      <c r="E624" s="251"/>
      <c r="H624" s="252"/>
      <c r="I624" s="253"/>
      <c r="J624" s="254"/>
      <c r="K624" s="255"/>
      <c r="L624" s="256"/>
      <c r="M624" s="257"/>
      <c r="N624" s="258"/>
      <c r="O624" s="259"/>
      <c r="P624" s="260"/>
      <c r="Q624" s="260"/>
      <c r="R624" s="260"/>
    </row>
    <row r="625" ht="15.75" customHeight="1">
      <c r="E625" s="251"/>
      <c r="H625" s="252"/>
      <c r="I625" s="253"/>
      <c r="J625" s="254"/>
      <c r="K625" s="255"/>
      <c r="L625" s="256"/>
      <c r="M625" s="257"/>
      <c r="N625" s="258"/>
      <c r="O625" s="259"/>
      <c r="P625" s="260"/>
      <c r="Q625" s="260"/>
      <c r="R625" s="260"/>
    </row>
    <row r="626" ht="15.75" customHeight="1">
      <c r="E626" s="251"/>
      <c r="H626" s="252"/>
      <c r="I626" s="253"/>
      <c r="J626" s="254"/>
      <c r="K626" s="255"/>
      <c r="L626" s="256"/>
      <c r="M626" s="257"/>
      <c r="N626" s="258"/>
      <c r="O626" s="259"/>
      <c r="P626" s="260"/>
      <c r="Q626" s="260"/>
      <c r="R626" s="260"/>
    </row>
    <row r="627" ht="15.75" customHeight="1">
      <c r="E627" s="251"/>
      <c r="H627" s="252"/>
      <c r="I627" s="253"/>
      <c r="J627" s="254"/>
      <c r="K627" s="255"/>
      <c r="L627" s="256"/>
      <c r="M627" s="257"/>
      <c r="N627" s="258"/>
      <c r="O627" s="259"/>
      <c r="P627" s="260"/>
      <c r="Q627" s="260"/>
      <c r="R627" s="260"/>
    </row>
    <row r="628" ht="15.75" customHeight="1">
      <c r="E628" s="251"/>
      <c r="H628" s="252"/>
      <c r="I628" s="253"/>
      <c r="J628" s="254"/>
      <c r="K628" s="255"/>
      <c r="L628" s="256"/>
      <c r="M628" s="257"/>
      <c r="N628" s="258"/>
      <c r="O628" s="259"/>
      <c r="P628" s="260"/>
      <c r="Q628" s="260"/>
      <c r="R628" s="260"/>
    </row>
    <row r="629" ht="15.75" customHeight="1">
      <c r="E629" s="251"/>
      <c r="H629" s="252"/>
      <c r="I629" s="253"/>
      <c r="J629" s="254"/>
      <c r="K629" s="255"/>
      <c r="L629" s="256"/>
      <c r="M629" s="257"/>
      <c r="N629" s="258"/>
      <c r="O629" s="259"/>
      <c r="P629" s="260"/>
      <c r="Q629" s="260"/>
      <c r="R629" s="260"/>
    </row>
    <row r="630" ht="15.75" customHeight="1">
      <c r="E630" s="251"/>
      <c r="H630" s="252"/>
      <c r="I630" s="253"/>
      <c r="J630" s="254"/>
      <c r="K630" s="255"/>
      <c r="L630" s="256"/>
      <c r="M630" s="257"/>
      <c r="N630" s="258"/>
      <c r="O630" s="259"/>
      <c r="P630" s="260"/>
      <c r="Q630" s="260"/>
      <c r="R630" s="260"/>
    </row>
    <row r="631" ht="15.75" customHeight="1">
      <c r="E631" s="251"/>
      <c r="H631" s="252"/>
      <c r="I631" s="253"/>
      <c r="J631" s="254"/>
      <c r="K631" s="255"/>
      <c r="L631" s="256"/>
      <c r="M631" s="257"/>
      <c r="N631" s="258"/>
      <c r="O631" s="259"/>
      <c r="P631" s="260"/>
      <c r="Q631" s="260"/>
      <c r="R631" s="260"/>
    </row>
    <row r="632" ht="15.75" customHeight="1">
      <c r="E632" s="251"/>
      <c r="H632" s="252"/>
      <c r="I632" s="253"/>
      <c r="J632" s="254"/>
      <c r="K632" s="255"/>
      <c r="L632" s="256"/>
      <c r="M632" s="257"/>
      <c r="N632" s="258"/>
      <c r="O632" s="259"/>
      <c r="P632" s="260"/>
      <c r="Q632" s="260"/>
      <c r="R632" s="260"/>
    </row>
    <row r="633" ht="15.75" customHeight="1">
      <c r="E633" s="251"/>
      <c r="H633" s="252"/>
      <c r="I633" s="253"/>
      <c r="J633" s="254"/>
      <c r="K633" s="255"/>
      <c r="L633" s="256"/>
      <c r="M633" s="257"/>
      <c r="N633" s="258"/>
      <c r="O633" s="259"/>
      <c r="P633" s="260"/>
      <c r="Q633" s="260"/>
      <c r="R633" s="260"/>
    </row>
    <row r="634" ht="15.75" customHeight="1">
      <c r="E634" s="251"/>
      <c r="H634" s="252"/>
      <c r="I634" s="253"/>
      <c r="J634" s="254"/>
      <c r="K634" s="255"/>
      <c r="L634" s="256"/>
      <c r="M634" s="257"/>
      <c r="N634" s="258"/>
      <c r="O634" s="259"/>
      <c r="P634" s="260"/>
      <c r="Q634" s="260"/>
      <c r="R634" s="260"/>
    </row>
    <row r="635" ht="15.75" customHeight="1">
      <c r="E635" s="251"/>
      <c r="H635" s="252"/>
      <c r="I635" s="253"/>
      <c r="J635" s="254"/>
      <c r="K635" s="255"/>
      <c r="L635" s="256"/>
      <c r="M635" s="257"/>
      <c r="N635" s="258"/>
      <c r="O635" s="259"/>
      <c r="P635" s="260"/>
      <c r="Q635" s="260"/>
      <c r="R635" s="260"/>
    </row>
    <row r="636" ht="15.75" customHeight="1">
      <c r="E636" s="251"/>
      <c r="H636" s="252"/>
      <c r="I636" s="253"/>
      <c r="J636" s="254"/>
      <c r="K636" s="255"/>
      <c r="L636" s="256"/>
      <c r="M636" s="257"/>
      <c r="N636" s="258"/>
      <c r="O636" s="259"/>
      <c r="P636" s="260"/>
      <c r="Q636" s="260"/>
      <c r="R636" s="260"/>
    </row>
    <row r="637" ht="15.75" customHeight="1">
      <c r="E637" s="251"/>
      <c r="H637" s="252"/>
      <c r="I637" s="253"/>
      <c r="J637" s="254"/>
      <c r="K637" s="255"/>
      <c r="L637" s="256"/>
      <c r="M637" s="257"/>
      <c r="N637" s="258"/>
      <c r="O637" s="259"/>
      <c r="P637" s="260"/>
      <c r="Q637" s="260"/>
      <c r="R637" s="260"/>
    </row>
    <row r="638" ht="15.75" customHeight="1">
      <c r="E638" s="251"/>
      <c r="H638" s="252"/>
      <c r="I638" s="253"/>
      <c r="J638" s="254"/>
      <c r="K638" s="255"/>
      <c r="L638" s="256"/>
      <c r="M638" s="257"/>
      <c r="N638" s="258"/>
      <c r="O638" s="259"/>
      <c r="P638" s="260"/>
      <c r="Q638" s="260"/>
      <c r="R638" s="260"/>
    </row>
    <row r="639" ht="15.75" customHeight="1">
      <c r="E639" s="251"/>
      <c r="H639" s="252"/>
      <c r="I639" s="253"/>
      <c r="J639" s="254"/>
      <c r="K639" s="255"/>
      <c r="L639" s="256"/>
      <c r="M639" s="257"/>
      <c r="N639" s="258"/>
      <c r="O639" s="259"/>
      <c r="P639" s="260"/>
      <c r="Q639" s="260"/>
      <c r="R639" s="260"/>
    </row>
    <row r="640" ht="15.75" customHeight="1">
      <c r="E640" s="251"/>
      <c r="H640" s="252"/>
      <c r="I640" s="253"/>
      <c r="J640" s="254"/>
      <c r="K640" s="255"/>
      <c r="L640" s="256"/>
      <c r="M640" s="257"/>
      <c r="N640" s="258"/>
      <c r="O640" s="259"/>
      <c r="P640" s="260"/>
      <c r="Q640" s="260"/>
      <c r="R640" s="260"/>
    </row>
    <row r="641" ht="15.75" customHeight="1">
      <c r="E641" s="251"/>
      <c r="H641" s="252"/>
      <c r="I641" s="253"/>
      <c r="J641" s="254"/>
      <c r="K641" s="255"/>
      <c r="L641" s="256"/>
      <c r="M641" s="257"/>
      <c r="N641" s="258"/>
      <c r="O641" s="259"/>
      <c r="P641" s="260"/>
      <c r="Q641" s="260"/>
      <c r="R641" s="260"/>
    </row>
    <row r="642" ht="15.75" customHeight="1">
      <c r="E642" s="251"/>
      <c r="H642" s="252"/>
      <c r="I642" s="253"/>
      <c r="J642" s="254"/>
      <c r="K642" s="255"/>
      <c r="L642" s="256"/>
      <c r="M642" s="257"/>
      <c r="N642" s="258"/>
      <c r="O642" s="259"/>
      <c r="P642" s="260"/>
      <c r="Q642" s="260"/>
      <c r="R642" s="260"/>
    </row>
    <row r="643" ht="15.75" customHeight="1">
      <c r="E643" s="251"/>
      <c r="H643" s="252"/>
      <c r="I643" s="253"/>
      <c r="J643" s="254"/>
      <c r="K643" s="255"/>
      <c r="L643" s="256"/>
      <c r="M643" s="257"/>
      <c r="N643" s="258"/>
      <c r="O643" s="259"/>
      <c r="P643" s="260"/>
      <c r="Q643" s="260"/>
      <c r="R643" s="260"/>
    </row>
    <row r="644" ht="15.75" customHeight="1">
      <c r="E644" s="251"/>
      <c r="H644" s="252"/>
      <c r="I644" s="253"/>
      <c r="J644" s="254"/>
      <c r="K644" s="255"/>
      <c r="L644" s="256"/>
      <c r="M644" s="257"/>
      <c r="N644" s="258"/>
      <c r="O644" s="259"/>
      <c r="P644" s="260"/>
      <c r="Q644" s="260"/>
      <c r="R644" s="260"/>
    </row>
    <row r="645" ht="15.75" customHeight="1">
      <c r="E645" s="251"/>
      <c r="H645" s="252"/>
      <c r="I645" s="253"/>
      <c r="J645" s="254"/>
      <c r="K645" s="255"/>
      <c r="L645" s="256"/>
      <c r="M645" s="257"/>
      <c r="N645" s="258"/>
      <c r="O645" s="259"/>
      <c r="P645" s="260"/>
      <c r="Q645" s="260"/>
      <c r="R645" s="260"/>
    </row>
    <row r="646" ht="15.75" customHeight="1">
      <c r="E646" s="251"/>
      <c r="H646" s="252"/>
      <c r="I646" s="253"/>
      <c r="J646" s="254"/>
      <c r="K646" s="255"/>
      <c r="L646" s="256"/>
      <c r="M646" s="257"/>
      <c r="N646" s="258"/>
      <c r="O646" s="259"/>
      <c r="P646" s="260"/>
      <c r="Q646" s="260"/>
      <c r="R646" s="260"/>
    </row>
    <row r="647" ht="15.75" customHeight="1">
      <c r="E647" s="251"/>
      <c r="H647" s="252"/>
      <c r="I647" s="253"/>
      <c r="J647" s="254"/>
      <c r="K647" s="255"/>
      <c r="L647" s="256"/>
      <c r="M647" s="257"/>
      <c r="N647" s="258"/>
      <c r="O647" s="259"/>
      <c r="P647" s="260"/>
      <c r="Q647" s="260"/>
      <c r="R647" s="260"/>
    </row>
    <row r="648" ht="15.75" customHeight="1">
      <c r="E648" s="251"/>
      <c r="H648" s="252"/>
      <c r="I648" s="253"/>
      <c r="J648" s="254"/>
      <c r="K648" s="255"/>
      <c r="L648" s="256"/>
      <c r="M648" s="257"/>
      <c r="N648" s="258"/>
      <c r="O648" s="259"/>
      <c r="P648" s="260"/>
      <c r="Q648" s="260"/>
      <c r="R648" s="260"/>
    </row>
    <row r="649" ht="15.75" customHeight="1">
      <c r="E649" s="251"/>
      <c r="H649" s="252"/>
      <c r="I649" s="253"/>
      <c r="J649" s="254"/>
      <c r="K649" s="255"/>
      <c r="L649" s="256"/>
      <c r="M649" s="257"/>
      <c r="N649" s="258"/>
      <c r="O649" s="259"/>
      <c r="P649" s="260"/>
      <c r="Q649" s="260"/>
      <c r="R649" s="260"/>
    </row>
    <row r="650" ht="15.75" customHeight="1">
      <c r="E650" s="251"/>
      <c r="H650" s="252"/>
      <c r="I650" s="253"/>
      <c r="J650" s="254"/>
      <c r="K650" s="255"/>
      <c r="L650" s="256"/>
      <c r="M650" s="257"/>
      <c r="N650" s="258"/>
      <c r="O650" s="259"/>
      <c r="P650" s="260"/>
      <c r="Q650" s="260"/>
      <c r="R650" s="260"/>
    </row>
    <row r="651" ht="15.75" customHeight="1">
      <c r="E651" s="251"/>
      <c r="H651" s="252"/>
      <c r="I651" s="253"/>
      <c r="J651" s="254"/>
      <c r="K651" s="255"/>
      <c r="L651" s="256"/>
      <c r="M651" s="257"/>
      <c r="N651" s="258"/>
      <c r="O651" s="259"/>
      <c r="P651" s="260"/>
      <c r="Q651" s="260"/>
      <c r="R651" s="260"/>
    </row>
    <row r="652" ht="15.75" customHeight="1">
      <c r="E652" s="251"/>
      <c r="H652" s="252"/>
      <c r="I652" s="253"/>
      <c r="J652" s="254"/>
      <c r="K652" s="255"/>
      <c r="L652" s="256"/>
      <c r="M652" s="257"/>
      <c r="N652" s="258"/>
      <c r="O652" s="259"/>
      <c r="P652" s="260"/>
      <c r="Q652" s="260"/>
      <c r="R652" s="260"/>
    </row>
    <row r="653" ht="15.75" customHeight="1">
      <c r="E653" s="251"/>
      <c r="H653" s="252"/>
      <c r="I653" s="253"/>
      <c r="J653" s="254"/>
      <c r="K653" s="255"/>
      <c r="L653" s="256"/>
      <c r="M653" s="257"/>
      <c r="N653" s="258"/>
      <c r="O653" s="259"/>
      <c r="P653" s="260"/>
      <c r="Q653" s="260"/>
      <c r="R653" s="260"/>
    </row>
    <row r="654" ht="15.75" customHeight="1">
      <c r="E654" s="251"/>
      <c r="H654" s="252"/>
      <c r="I654" s="253"/>
      <c r="J654" s="254"/>
      <c r="K654" s="255"/>
      <c r="L654" s="256"/>
      <c r="M654" s="257"/>
      <c r="N654" s="258"/>
      <c r="O654" s="259"/>
      <c r="P654" s="260"/>
      <c r="Q654" s="260"/>
      <c r="R654" s="260"/>
    </row>
    <row r="655" ht="15.75" customHeight="1">
      <c r="E655" s="251"/>
      <c r="H655" s="252"/>
      <c r="I655" s="253"/>
      <c r="J655" s="254"/>
      <c r="K655" s="255"/>
      <c r="L655" s="256"/>
      <c r="M655" s="257"/>
      <c r="N655" s="258"/>
      <c r="O655" s="259"/>
      <c r="P655" s="260"/>
      <c r="Q655" s="260"/>
      <c r="R655" s="260"/>
    </row>
    <row r="656" ht="15.75" customHeight="1">
      <c r="E656" s="251"/>
      <c r="H656" s="252"/>
      <c r="I656" s="253"/>
      <c r="J656" s="254"/>
      <c r="K656" s="255"/>
      <c r="L656" s="256"/>
      <c r="M656" s="257"/>
      <c r="N656" s="258"/>
      <c r="O656" s="259"/>
      <c r="P656" s="260"/>
      <c r="Q656" s="260"/>
      <c r="R656" s="260"/>
    </row>
    <row r="657" ht="15.75" customHeight="1">
      <c r="E657" s="251"/>
      <c r="H657" s="252"/>
      <c r="I657" s="253"/>
      <c r="J657" s="254"/>
      <c r="K657" s="255"/>
      <c r="L657" s="256"/>
      <c r="M657" s="257"/>
      <c r="N657" s="258"/>
      <c r="O657" s="259"/>
      <c r="P657" s="260"/>
      <c r="Q657" s="260"/>
      <c r="R657" s="260"/>
    </row>
    <row r="658" ht="15.75" customHeight="1">
      <c r="E658" s="251"/>
      <c r="H658" s="252"/>
      <c r="I658" s="253"/>
      <c r="J658" s="254"/>
      <c r="K658" s="255"/>
      <c r="L658" s="256"/>
      <c r="M658" s="257"/>
      <c r="N658" s="258"/>
      <c r="O658" s="259"/>
      <c r="P658" s="260"/>
      <c r="Q658" s="260"/>
      <c r="R658" s="260"/>
    </row>
    <row r="659" ht="15.75" customHeight="1">
      <c r="E659" s="251"/>
      <c r="H659" s="252"/>
      <c r="I659" s="253"/>
      <c r="J659" s="254"/>
      <c r="K659" s="255"/>
      <c r="L659" s="256"/>
      <c r="M659" s="257"/>
      <c r="N659" s="258"/>
      <c r="O659" s="259"/>
      <c r="P659" s="260"/>
      <c r="Q659" s="260"/>
      <c r="R659" s="260"/>
    </row>
    <row r="660" ht="15.75" customHeight="1">
      <c r="E660" s="251"/>
      <c r="H660" s="252"/>
      <c r="I660" s="253"/>
      <c r="J660" s="254"/>
      <c r="K660" s="255"/>
      <c r="L660" s="256"/>
      <c r="M660" s="257"/>
      <c r="N660" s="258"/>
      <c r="O660" s="259"/>
      <c r="P660" s="260"/>
      <c r="Q660" s="260"/>
      <c r="R660" s="260"/>
    </row>
    <row r="661" ht="15.75" customHeight="1">
      <c r="E661" s="251"/>
      <c r="H661" s="252"/>
      <c r="I661" s="253"/>
      <c r="J661" s="254"/>
      <c r="K661" s="255"/>
      <c r="L661" s="256"/>
      <c r="M661" s="257"/>
      <c r="N661" s="258"/>
      <c r="O661" s="259"/>
      <c r="P661" s="260"/>
      <c r="Q661" s="260"/>
      <c r="R661" s="260"/>
    </row>
    <row r="662" ht="15.75" customHeight="1">
      <c r="E662" s="251"/>
      <c r="H662" s="252"/>
      <c r="I662" s="253"/>
      <c r="J662" s="254"/>
      <c r="K662" s="255"/>
      <c r="L662" s="256"/>
      <c r="M662" s="257"/>
      <c r="N662" s="258"/>
      <c r="O662" s="259"/>
      <c r="P662" s="260"/>
      <c r="Q662" s="260"/>
      <c r="R662" s="260"/>
    </row>
    <row r="663" ht="15.75" customHeight="1">
      <c r="E663" s="251"/>
      <c r="H663" s="252"/>
      <c r="I663" s="253"/>
      <c r="J663" s="254"/>
      <c r="K663" s="255"/>
      <c r="L663" s="256"/>
      <c r="M663" s="257"/>
      <c r="N663" s="258"/>
      <c r="O663" s="259"/>
      <c r="P663" s="260"/>
      <c r="Q663" s="260"/>
      <c r="R663" s="260"/>
    </row>
    <row r="664" ht="15.75" customHeight="1">
      <c r="E664" s="251"/>
      <c r="H664" s="252"/>
      <c r="I664" s="253"/>
      <c r="J664" s="254"/>
      <c r="K664" s="255"/>
      <c r="L664" s="256"/>
      <c r="M664" s="257"/>
      <c r="N664" s="258"/>
      <c r="O664" s="259"/>
      <c r="P664" s="260"/>
      <c r="Q664" s="260"/>
      <c r="R664" s="260"/>
    </row>
    <row r="665" ht="15.75" customHeight="1">
      <c r="E665" s="251"/>
      <c r="H665" s="252"/>
      <c r="I665" s="253"/>
      <c r="J665" s="254"/>
      <c r="K665" s="255"/>
      <c r="L665" s="256"/>
      <c r="M665" s="257"/>
      <c r="N665" s="258"/>
      <c r="O665" s="259"/>
      <c r="P665" s="260"/>
      <c r="Q665" s="260"/>
      <c r="R665" s="260"/>
    </row>
    <row r="666" ht="15.75" customHeight="1">
      <c r="E666" s="251"/>
      <c r="H666" s="252"/>
      <c r="I666" s="253"/>
      <c r="J666" s="254"/>
      <c r="K666" s="255"/>
      <c r="L666" s="256"/>
      <c r="M666" s="257"/>
      <c r="N666" s="258"/>
      <c r="O666" s="259"/>
      <c r="P666" s="260"/>
      <c r="Q666" s="260"/>
      <c r="R666" s="260"/>
    </row>
    <row r="667" ht="15.75" customHeight="1">
      <c r="E667" s="251"/>
      <c r="H667" s="252"/>
      <c r="I667" s="253"/>
      <c r="J667" s="254"/>
      <c r="K667" s="255"/>
      <c r="L667" s="256"/>
      <c r="M667" s="257"/>
      <c r="N667" s="258"/>
      <c r="O667" s="259"/>
      <c r="P667" s="260"/>
      <c r="Q667" s="260"/>
      <c r="R667" s="260"/>
    </row>
    <row r="668" ht="15.75" customHeight="1">
      <c r="E668" s="251"/>
      <c r="H668" s="252"/>
      <c r="I668" s="253"/>
      <c r="J668" s="254"/>
      <c r="K668" s="255"/>
      <c r="L668" s="256"/>
      <c r="M668" s="257"/>
      <c r="N668" s="258"/>
      <c r="O668" s="259"/>
      <c r="P668" s="260"/>
      <c r="Q668" s="260"/>
      <c r="R668" s="260"/>
    </row>
    <row r="669" ht="15.75" customHeight="1">
      <c r="E669" s="251"/>
      <c r="H669" s="252"/>
      <c r="I669" s="253"/>
      <c r="J669" s="254"/>
      <c r="K669" s="255"/>
      <c r="L669" s="256"/>
      <c r="M669" s="257"/>
      <c r="N669" s="258"/>
      <c r="O669" s="259"/>
      <c r="P669" s="260"/>
      <c r="Q669" s="260"/>
      <c r="R669" s="260"/>
    </row>
    <row r="670" ht="15.75" customHeight="1">
      <c r="E670" s="251"/>
      <c r="H670" s="252"/>
      <c r="I670" s="253"/>
      <c r="J670" s="254"/>
      <c r="K670" s="255"/>
      <c r="L670" s="256"/>
      <c r="M670" s="257"/>
      <c r="N670" s="258"/>
      <c r="O670" s="259"/>
      <c r="P670" s="260"/>
      <c r="Q670" s="260"/>
      <c r="R670" s="260"/>
    </row>
    <row r="671" ht="15.75" customHeight="1">
      <c r="E671" s="251"/>
      <c r="H671" s="252"/>
      <c r="I671" s="253"/>
      <c r="J671" s="254"/>
      <c r="K671" s="255"/>
      <c r="L671" s="256"/>
      <c r="M671" s="257"/>
      <c r="N671" s="258"/>
      <c r="O671" s="259"/>
      <c r="P671" s="260"/>
      <c r="Q671" s="260"/>
      <c r="R671" s="260"/>
    </row>
    <row r="672" ht="15.75" customHeight="1">
      <c r="E672" s="251"/>
      <c r="H672" s="252"/>
      <c r="I672" s="253"/>
      <c r="J672" s="254"/>
      <c r="K672" s="255"/>
      <c r="L672" s="256"/>
      <c r="M672" s="257"/>
      <c r="N672" s="258"/>
      <c r="O672" s="259"/>
      <c r="P672" s="260"/>
      <c r="Q672" s="260"/>
      <c r="R672" s="260"/>
    </row>
    <row r="673" ht="15.75" customHeight="1">
      <c r="E673" s="251"/>
      <c r="H673" s="252"/>
      <c r="I673" s="253"/>
      <c r="J673" s="254"/>
      <c r="K673" s="255"/>
      <c r="L673" s="256"/>
      <c r="M673" s="257"/>
      <c r="N673" s="258"/>
      <c r="O673" s="259"/>
      <c r="P673" s="260"/>
      <c r="Q673" s="260"/>
      <c r="R673" s="260"/>
    </row>
    <row r="674" ht="15.75" customHeight="1">
      <c r="E674" s="251"/>
      <c r="H674" s="252"/>
      <c r="I674" s="253"/>
      <c r="J674" s="254"/>
      <c r="K674" s="255"/>
      <c r="L674" s="256"/>
      <c r="M674" s="257"/>
      <c r="N674" s="258"/>
      <c r="O674" s="259"/>
      <c r="P674" s="260"/>
      <c r="Q674" s="260"/>
      <c r="R674" s="260"/>
    </row>
    <row r="675" ht="15.75" customHeight="1">
      <c r="E675" s="251"/>
      <c r="H675" s="252"/>
      <c r="I675" s="253"/>
      <c r="J675" s="254"/>
      <c r="K675" s="255"/>
      <c r="L675" s="256"/>
      <c r="M675" s="257"/>
      <c r="N675" s="258"/>
      <c r="O675" s="259"/>
      <c r="P675" s="260"/>
      <c r="Q675" s="260"/>
      <c r="R675" s="260"/>
    </row>
    <row r="676" ht="15.75" customHeight="1">
      <c r="E676" s="251"/>
      <c r="H676" s="252"/>
      <c r="I676" s="253"/>
      <c r="J676" s="254"/>
      <c r="K676" s="255"/>
      <c r="L676" s="256"/>
      <c r="M676" s="257"/>
      <c r="N676" s="258"/>
      <c r="O676" s="259"/>
      <c r="P676" s="260"/>
      <c r="Q676" s="260"/>
      <c r="R676" s="260"/>
    </row>
    <row r="677" ht="15.75" customHeight="1">
      <c r="E677" s="251"/>
      <c r="H677" s="252"/>
      <c r="I677" s="253"/>
      <c r="J677" s="254"/>
      <c r="K677" s="255"/>
      <c r="L677" s="256"/>
      <c r="M677" s="257"/>
      <c r="N677" s="258"/>
      <c r="O677" s="259"/>
      <c r="P677" s="260"/>
      <c r="Q677" s="260"/>
      <c r="R677" s="260"/>
    </row>
    <row r="678" ht="15.75" customHeight="1">
      <c r="E678" s="251"/>
      <c r="H678" s="252"/>
      <c r="I678" s="253"/>
      <c r="J678" s="254"/>
      <c r="K678" s="255"/>
      <c r="L678" s="256"/>
      <c r="M678" s="257"/>
      <c r="N678" s="258"/>
      <c r="O678" s="259"/>
      <c r="P678" s="260"/>
      <c r="Q678" s="260"/>
      <c r="R678" s="260"/>
    </row>
    <row r="679" ht="15.75" customHeight="1">
      <c r="E679" s="251"/>
      <c r="H679" s="252"/>
      <c r="I679" s="253"/>
      <c r="J679" s="254"/>
      <c r="K679" s="255"/>
      <c r="L679" s="256"/>
      <c r="M679" s="257"/>
      <c r="N679" s="258"/>
      <c r="O679" s="259"/>
      <c r="P679" s="260"/>
      <c r="Q679" s="260"/>
      <c r="R679" s="260"/>
    </row>
    <row r="680" ht="15.75" customHeight="1">
      <c r="E680" s="251"/>
      <c r="H680" s="252"/>
      <c r="I680" s="253"/>
      <c r="J680" s="254"/>
      <c r="K680" s="255"/>
      <c r="L680" s="256"/>
      <c r="M680" s="257"/>
      <c r="N680" s="258"/>
      <c r="O680" s="259"/>
      <c r="P680" s="260"/>
      <c r="Q680" s="260"/>
      <c r="R680" s="260"/>
    </row>
    <row r="681" ht="15.75" customHeight="1">
      <c r="E681" s="251"/>
      <c r="H681" s="252"/>
      <c r="I681" s="253"/>
      <c r="J681" s="254"/>
      <c r="K681" s="255"/>
      <c r="L681" s="256"/>
      <c r="M681" s="257"/>
      <c r="N681" s="258"/>
      <c r="O681" s="259"/>
      <c r="P681" s="260"/>
      <c r="Q681" s="260"/>
      <c r="R681" s="260"/>
    </row>
    <row r="682" ht="15.75" customHeight="1">
      <c r="E682" s="251"/>
      <c r="H682" s="252"/>
      <c r="I682" s="253"/>
      <c r="J682" s="254"/>
      <c r="K682" s="255"/>
      <c r="L682" s="256"/>
      <c r="M682" s="257"/>
      <c r="N682" s="258"/>
      <c r="O682" s="259"/>
      <c r="P682" s="260"/>
      <c r="Q682" s="260"/>
      <c r="R682" s="260"/>
    </row>
    <row r="683" ht="15.75" customHeight="1">
      <c r="E683" s="251"/>
      <c r="H683" s="252"/>
      <c r="I683" s="253"/>
      <c r="J683" s="254"/>
      <c r="K683" s="255"/>
      <c r="L683" s="256"/>
      <c r="M683" s="257"/>
      <c r="N683" s="258"/>
      <c r="O683" s="259"/>
      <c r="P683" s="260"/>
      <c r="Q683" s="260"/>
      <c r="R683" s="260"/>
    </row>
    <row r="684" ht="15.75" customHeight="1">
      <c r="E684" s="251"/>
      <c r="H684" s="252"/>
      <c r="I684" s="253"/>
      <c r="J684" s="254"/>
      <c r="K684" s="255"/>
      <c r="L684" s="256"/>
      <c r="M684" s="257"/>
      <c r="N684" s="258"/>
      <c r="O684" s="259"/>
      <c r="P684" s="260"/>
      <c r="Q684" s="260"/>
      <c r="R684" s="260"/>
    </row>
    <row r="685" ht="15.75" customHeight="1">
      <c r="E685" s="251"/>
      <c r="H685" s="252"/>
      <c r="I685" s="253"/>
      <c r="J685" s="254"/>
      <c r="K685" s="255"/>
      <c r="L685" s="256"/>
      <c r="M685" s="257"/>
      <c r="N685" s="258"/>
      <c r="O685" s="259"/>
      <c r="P685" s="260"/>
      <c r="Q685" s="260"/>
      <c r="R685" s="260"/>
    </row>
    <row r="686" ht="15.75" customHeight="1">
      <c r="E686" s="251"/>
      <c r="H686" s="252"/>
      <c r="I686" s="253"/>
      <c r="J686" s="254"/>
      <c r="K686" s="255"/>
      <c r="L686" s="256"/>
      <c r="M686" s="257"/>
      <c r="N686" s="258"/>
      <c r="O686" s="259"/>
      <c r="P686" s="260"/>
      <c r="Q686" s="260"/>
      <c r="R686" s="260"/>
    </row>
    <row r="687" ht="15.75" customHeight="1">
      <c r="E687" s="251"/>
      <c r="H687" s="252"/>
      <c r="I687" s="253"/>
      <c r="J687" s="254"/>
      <c r="K687" s="255"/>
      <c r="L687" s="256"/>
      <c r="M687" s="257"/>
      <c r="N687" s="258"/>
      <c r="O687" s="259"/>
      <c r="P687" s="260"/>
      <c r="Q687" s="260"/>
      <c r="R687" s="260"/>
    </row>
    <row r="688" ht="15.75" customHeight="1">
      <c r="E688" s="251"/>
      <c r="H688" s="252"/>
      <c r="I688" s="253"/>
      <c r="J688" s="254"/>
      <c r="K688" s="255"/>
      <c r="L688" s="256"/>
      <c r="M688" s="257"/>
      <c r="N688" s="258"/>
      <c r="O688" s="259"/>
      <c r="P688" s="260"/>
      <c r="Q688" s="260"/>
      <c r="R688" s="260"/>
    </row>
    <row r="689" ht="15.75" customHeight="1">
      <c r="E689" s="251"/>
      <c r="H689" s="252"/>
      <c r="I689" s="253"/>
      <c r="J689" s="254"/>
      <c r="K689" s="255"/>
      <c r="L689" s="256"/>
      <c r="M689" s="257"/>
      <c r="N689" s="258"/>
      <c r="O689" s="259"/>
      <c r="P689" s="260"/>
      <c r="Q689" s="260"/>
      <c r="R689" s="260"/>
    </row>
    <row r="690" ht="15.75" customHeight="1">
      <c r="E690" s="251"/>
      <c r="H690" s="252"/>
      <c r="I690" s="253"/>
      <c r="J690" s="254"/>
      <c r="K690" s="255"/>
      <c r="L690" s="256"/>
      <c r="M690" s="257"/>
      <c r="N690" s="258"/>
      <c r="O690" s="259"/>
      <c r="P690" s="260"/>
      <c r="Q690" s="260"/>
      <c r="R690" s="260"/>
    </row>
    <row r="691" ht="15.75" customHeight="1">
      <c r="E691" s="251"/>
      <c r="H691" s="252"/>
      <c r="I691" s="253"/>
      <c r="J691" s="254"/>
      <c r="K691" s="255"/>
      <c r="L691" s="256"/>
      <c r="M691" s="257"/>
      <c r="N691" s="258"/>
      <c r="O691" s="259"/>
      <c r="P691" s="260"/>
      <c r="Q691" s="260"/>
      <c r="R691" s="260"/>
    </row>
    <row r="692" ht="15.75" customHeight="1">
      <c r="E692" s="251"/>
      <c r="H692" s="252"/>
      <c r="I692" s="253"/>
      <c r="J692" s="254"/>
      <c r="K692" s="255"/>
      <c r="L692" s="256"/>
      <c r="M692" s="257"/>
      <c r="N692" s="258"/>
      <c r="O692" s="259"/>
      <c r="P692" s="260"/>
      <c r="Q692" s="260"/>
      <c r="R692" s="260"/>
    </row>
    <row r="693" ht="15.75" customHeight="1">
      <c r="E693" s="251"/>
      <c r="H693" s="252"/>
      <c r="I693" s="253"/>
      <c r="J693" s="254"/>
      <c r="K693" s="255"/>
      <c r="L693" s="256"/>
      <c r="M693" s="257"/>
      <c r="N693" s="258"/>
      <c r="O693" s="259"/>
      <c r="P693" s="260"/>
      <c r="Q693" s="260"/>
      <c r="R693" s="260"/>
    </row>
    <row r="694" ht="15.75" customHeight="1">
      <c r="E694" s="251"/>
      <c r="H694" s="252"/>
      <c r="I694" s="253"/>
      <c r="J694" s="254"/>
      <c r="K694" s="255"/>
      <c r="L694" s="256"/>
      <c r="M694" s="257"/>
      <c r="N694" s="258"/>
      <c r="O694" s="259"/>
      <c r="P694" s="260"/>
      <c r="Q694" s="260"/>
      <c r="R694" s="260"/>
    </row>
    <row r="695" ht="15.75" customHeight="1">
      <c r="E695" s="251"/>
      <c r="H695" s="252"/>
      <c r="I695" s="253"/>
      <c r="J695" s="254"/>
      <c r="K695" s="255"/>
      <c r="L695" s="256"/>
      <c r="M695" s="257"/>
      <c r="N695" s="258"/>
      <c r="O695" s="259"/>
      <c r="P695" s="260"/>
      <c r="Q695" s="260"/>
      <c r="R695" s="260"/>
    </row>
    <row r="696" ht="15.75" customHeight="1">
      <c r="E696" s="251"/>
      <c r="H696" s="252"/>
      <c r="I696" s="253"/>
      <c r="J696" s="254"/>
      <c r="K696" s="255"/>
      <c r="L696" s="256"/>
      <c r="M696" s="257"/>
      <c r="N696" s="258"/>
      <c r="O696" s="259"/>
      <c r="P696" s="260"/>
      <c r="Q696" s="260"/>
      <c r="R696" s="260"/>
    </row>
    <row r="697" ht="15.75" customHeight="1">
      <c r="E697" s="251"/>
      <c r="H697" s="252"/>
      <c r="I697" s="253"/>
      <c r="J697" s="254"/>
      <c r="K697" s="255"/>
      <c r="L697" s="256"/>
      <c r="M697" s="257"/>
      <c r="N697" s="258"/>
      <c r="O697" s="259"/>
      <c r="P697" s="260"/>
      <c r="Q697" s="260"/>
      <c r="R697" s="260"/>
    </row>
    <row r="698" ht="15.75" customHeight="1">
      <c r="E698" s="251"/>
      <c r="H698" s="252"/>
      <c r="I698" s="253"/>
      <c r="J698" s="254"/>
      <c r="K698" s="255"/>
      <c r="L698" s="256"/>
      <c r="M698" s="257"/>
      <c r="N698" s="258"/>
      <c r="O698" s="259"/>
      <c r="P698" s="260"/>
      <c r="Q698" s="260"/>
      <c r="R698" s="260"/>
    </row>
    <row r="699" ht="15.75" customHeight="1">
      <c r="E699" s="251"/>
      <c r="H699" s="252"/>
      <c r="I699" s="253"/>
      <c r="J699" s="254"/>
      <c r="K699" s="255"/>
      <c r="L699" s="256"/>
      <c r="M699" s="257"/>
      <c r="N699" s="258"/>
      <c r="O699" s="259"/>
      <c r="P699" s="260"/>
      <c r="Q699" s="260"/>
      <c r="R699" s="260"/>
    </row>
    <row r="700" ht="15.75" customHeight="1">
      <c r="E700" s="251"/>
      <c r="H700" s="252"/>
      <c r="I700" s="253"/>
      <c r="J700" s="254"/>
      <c r="K700" s="255"/>
      <c r="L700" s="256"/>
      <c r="M700" s="257"/>
      <c r="N700" s="258"/>
      <c r="O700" s="259"/>
      <c r="P700" s="260"/>
      <c r="Q700" s="260"/>
      <c r="R700" s="260"/>
    </row>
    <row r="701" ht="15.75" customHeight="1">
      <c r="E701" s="251"/>
      <c r="H701" s="252"/>
      <c r="I701" s="253"/>
      <c r="J701" s="254"/>
      <c r="K701" s="255"/>
      <c r="L701" s="256"/>
      <c r="M701" s="257"/>
      <c r="N701" s="258"/>
      <c r="O701" s="259"/>
      <c r="P701" s="260"/>
      <c r="Q701" s="260"/>
      <c r="R701" s="260"/>
    </row>
    <row r="702" ht="15.75" customHeight="1">
      <c r="E702" s="251"/>
      <c r="H702" s="252"/>
      <c r="I702" s="253"/>
      <c r="J702" s="254"/>
      <c r="K702" s="255"/>
      <c r="L702" s="256"/>
      <c r="M702" s="257"/>
      <c r="N702" s="258"/>
      <c r="O702" s="259"/>
      <c r="P702" s="260"/>
      <c r="Q702" s="260"/>
      <c r="R702" s="260"/>
    </row>
    <row r="703" ht="15.75" customHeight="1">
      <c r="E703" s="251"/>
      <c r="H703" s="252"/>
      <c r="I703" s="253"/>
      <c r="J703" s="254"/>
      <c r="K703" s="255"/>
      <c r="L703" s="256"/>
      <c r="M703" s="257"/>
      <c r="N703" s="258"/>
      <c r="O703" s="259"/>
      <c r="P703" s="260"/>
      <c r="Q703" s="260"/>
      <c r="R703" s="260"/>
    </row>
    <row r="704" ht="15.75" customHeight="1">
      <c r="E704" s="251"/>
      <c r="H704" s="252"/>
      <c r="I704" s="253"/>
      <c r="J704" s="254"/>
      <c r="K704" s="255"/>
      <c r="L704" s="256"/>
      <c r="M704" s="257"/>
      <c r="N704" s="258"/>
      <c r="O704" s="259"/>
      <c r="P704" s="260"/>
      <c r="Q704" s="260"/>
      <c r="R704" s="260"/>
    </row>
    <row r="705" ht="15.75" customHeight="1">
      <c r="E705" s="251"/>
      <c r="H705" s="252"/>
      <c r="I705" s="253"/>
      <c r="J705" s="254"/>
      <c r="K705" s="255"/>
      <c r="L705" s="256"/>
      <c r="M705" s="257"/>
      <c r="N705" s="258"/>
      <c r="O705" s="259"/>
      <c r="P705" s="260"/>
      <c r="Q705" s="260"/>
      <c r="R705" s="260"/>
    </row>
    <row r="706" ht="15.75" customHeight="1">
      <c r="E706" s="251"/>
      <c r="H706" s="252"/>
      <c r="I706" s="253"/>
      <c r="J706" s="254"/>
      <c r="K706" s="255"/>
      <c r="L706" s="256"/>
      <c r="M706" s="257"/>
      <c r="N706" s="258"/>
      <c r="O706" s="259"/>
      <c r="P706" s="260"/>
      <c r="Q706" s="260"/>
      <c r="R706" s="260"/>
    </row>
    <row r="707" ht="15.75" customHeight="1">
      <c r="E707" s="251"/>
      <c r="H707" s="252"/>
      <c r="I707" s="253"/>
      <c r="J707" s="254"/>
      <c r="K707" s="255"/>
      <c r="L707" s="256"/>
      <c r="M707" s="257"/>
      <c r="N707" s="258"/>
      <c r="O707" s="259"/>
      <c r="P707" s="260"/>
      <c r="Q707" s="260"/>
      <c r="R707" s="260"/>
    </row>
    <row r="708" ht="15.75" customHeight="1">
      <c r="E708" s="251"/>
      <c r="H708" s="252"/>
      <c r="I708" s="253"/>
      <c r="J708" s="254"/>
      <c r="K708" s="255"/>
      <c r="L708" s="256"/>
      <c r="M708" s="257"/>
      <c r="N708" s="258"/>
      <c r="O708" s="259"/>
      <c r="P708" s="260"/>
      <c r="Q708" s="260"/>
      <c r="R708" s="260"/>
    </row>
    <row r="709" ht="15.75" customHeight="1">
      <c r="E709" s="251"/>
      <c r="H709" s="252"/>
      <c r="I709" s="253"/>
      <c r="J709" s="254"/>
      <c r="K709" s="255"/>
      <c r="L709" s="256"/>
      <c r="M709" s="257"/>
      <c r="N709" s="258"/>
      <c r="O709" s="259"/>
      <c r="P709" s="260"/>
      <c r="Q709" s="260"/>
      <c r="R709" s="260"/>
    </row>
    <row r="710" ht="15.75" customHeight="1">
      <c r="E710" s="251"/>
      <c r="H710" s="252"/>
      <c r="I710" s="253"/>
      <c r="J710" s="254"/>
      <c r="K710" s="255"/>
      <c r="L710" s="256"/>
      <c r="M710" s="257"/>
      <c r="N710" s="258"/>
      <c r="O710" s="259"/>
      <c r="P710" s="260"/>
      <c r="Q710" s="260"/>
      <c r="R710" s="260"/>
    </row>
    <row r="711" ht="15.75" customHeight="1">
      <c r="E711" s="251"/>
      <c r="H711" s="252"/>
      <c r="I711" s="253"/>
      <c r="J711" s="254"/>
      <c r="K711" s="255"/>
      <c r="L711" s="256"/>
      <c r="M711" s="257"/>
      <c r="N711" s="258"/>
      <c r="O711" s="259"/>
      <c r="P711" s="260"/>
      <c r="Q711" s="260"/>
      <c r="R711" s="260"/>
    </row>
    <row r="712" ht="15.75" customHeight="1">
      <c r="E712" s="251"/>
      <c r="H712" s="252"/>
      <c r="I712" s="253"/>
      <c r="J712" s="254"/>
      <c r="K712" s="255"/>
      <c r="L712" s="256"/>
      <c r="M712" s="257"/>
      <c r="N712" s="258"/>
      <c r="O712" s="259"/>
      <c r="P712" s="260"/>
      <c r="Q712" s="260"/>
      <c r="R712" s="260"/>
    </row>
    <row r="713" ht="15.75" customHeight="1">
      <c r="E713" s="251"/>
      <c r="H713" s="252"/>
      <c r="I713" s="253"/>
      <c r="J713" s="254"/>
      <c r="K713" s="255"/>
      <c r="L713" s="256"/>
      <c r="M713" s="257"/>
      <c r="N713" s="258"/>
      <c r="O713" s="259"/>
      <c r="P713" s="260"/>
      <c r="Q713" s="260"/>
      <c r="R713" s="260"/>
    </row>
    <row r="714" ht="15.75" customHeight="1">
      <c r="E714" s="251"/>
      <c r="H714" s="252"/>
      <c r="I714" s="253"/>
      <c r="J714" s="254"/>
      <c r="K714" s="255"/>
      <c r="L714" s="256"/>
      <c r="M714" s="257"/>
      <c r="N714" s="258"/>
      <c r="O714" s="259"/>
      <c r="P714" s="260"/>
      <c r="Q714" s="260"/>
      <c r="R714" s="260"/>
    </row>
    <row r="715" ht="15.75" customHeight="1">
      <c r="E715" s="251"/>
      <c r="H715" s="252"/>
      <c r="I715" s="253"/>
      <c r="J715" s="254"/>
      <c r="K715" s="255"/>
      <c r="L715" s="256"/>
      <c r="M715" s="257"/>
      <c r="N715" s="258"/>
      <c r="O715" s="259"/>
      <c r="P715" s="260"/>
      <c r="Q715" s="260"/>
      <c r="R715" s="260"/>
    </row>
    <row r="716" ht="15.75" customHeight="1">
      <c r="E716" s="251"/>
      <c r="H716" s="252"/>
      <c r="I716" s="253"/>
      <c r="J716" s="254"/>
      <c r="K716" s="255"/>
      <c r="L716" s="256"/>
      <c r="M716" s="257"/>
      <c r="N716" s="258"/>
      <c r="O716" s="259"/>
      <c r="P716" s="260"/>
      <c r="Q716" s="260"/>
      <c r="R716" s="260"/>
    </row>
    <row r="717" ht="15.75" customHeight="1">
      <c r="E717" s="251"/>
      <c r="H717" s="252"/>
      <c r="I717" s="253"/>
      <c r="J717" s="254"/>
      <c r="K717" s="255"/>
      <c r="L717" s="256"/>
      <c r="M717" s="257"/>
      <c r="N717" s="258"/>
      <c r="O717" s="259"/>
      <c r="P717" s="260"/>
      <c r="Q717" s="260"/>
      <c r="R717" s="260"/>
    </row>
    <row r="718" ht="15.75" customHeight="1">
      <c r="E718" s="251"/>
      <c r="H718" s="252"/>
      <c r="I718" s="253"/>
      <c r="J718" s="254"/>
      <c r="K718" s="255"/>
      <c r="L718" s="256"/>
      <c r="M718" s="257"/>
      <c r="N718" s="258"/>
      <c r="O718" s="259"/>
      <c r="P718" s="260"/>
      <c r="Q718" s="260"/>
      <c r="R718" s="260"/>
    </row>
    <row r="719" ht="15.75" customHeight="1">
      <c r="E719" s="251"/>
      <c r="H719" s="252"/>
      <c r="I719" s="253"/>
      <c r="J719" s="254"/>
      <c r="K719" s="255"/>
      <c r="L719" s="256"/>
      <c r="M719" s="257"/>
      <c r="N719" s="258"/>
      <c r="O719" s="259"/>
      <c r="P719" s="260"/>
      <c r="Q719" s="260"/>
      <c r="R719" s="260"/>
    </row>
    <row r="720" ht="15.75" customHeight="1">
      <c r="E720" s="251"/>
      <c r="H720" s="252"/>
      <c r="I720" s="253"/>
      <c r="J720" s="254"/>
      <c r="K720" s="255"/>
      <c r="L720" s="256"/>
      <c r="M720" s="257"/>
      <c r="N720" s="258"/>
      <c r="O720" s="259"/>
      <c r="P720" s="260"/>
      <c r="Q720" s="260"/>
      <c r="R720" s="260"/>
    </row>
    <row r="721" ht="15.75" customHeight="1">
      <c r="E721" s="251"/>
      <c r="H721" s="252"/>
      <c r="I721" s="253"/>
      <c r="J721" s="254"/>
      <c r="K721" s="255"/>
      <c r="L721" s="256"/>
      <c r="M721" s="257"/>
      <c r="N721" s="258"/>
      <c r="O721" s="259"/>
      <c r="P721" s="260"/>
      <c r="Q721" s="260"/>
      <c r="R721" s="260"/>
    </row>
    <row r="722" ht="15.75" customHeight="1">
      <c r="E722" s="251"/>
      <c r="H722" s="252"/>
      <c r="I722" s="253"/>
      <c r="J722" s="254"/>
      <c r="K722" s="255"/>
      <c r="L722" s="256"/>
      <c r="M722" s="257"/>
      <c r="N722" s="258"/>
      <c r="O722" s="259"/>
      <c r="P722" s="260"/>
      <c r="Q722" s="260"/>
      <c r="R722" s="260"/>
    </row>
    <row r="723" ht="15.75" customHeight="1">
      <c r="E723" s="251"/>
      <c r="H723" s="252"/>
      <c r="I723" s="253"/>
      <c r="J723" s="254"/>
      <c r="K723" s="255"/>
      <c r="L723" s="256"/>
      <c r="M723" s="257"/>
      <c r="N723" s="258"/>
      <c r="O723" s="259"/>
      <c r="P723" s="260"/>
      <c r="Q723" s="260"/>
      <c r="R723" s="260"/>
    </row>
    <row r="724" ht="15.75" customHeight="1">
      <c r="E724" s="251"/>
      <c r="H724" s="252"/>
      <c r="I724" s="253"/>
      <c r="J724" s="254"/>
      <c r="K724" s="255"/>
      <c r="L724" s="256"/>
      <c r="M724" s="257"/>
      <c r="N724" s="258"/>
      <c r="O724" s="259"/>
      <c r="P724" s="260"/>
      <c r="Q724" s="260"/>
      <c r="R724" s="260"/>
    </row>
    <row r="725" ht="15.75" customHeight="1">
      <c r="E725" s="251"/>
      <c r="H725" s="252"/>
      <c r="I725" s="253"/>
      <c r="J725" s="254"/>
      <c r="K725" s="255"/>
      <c r="L725" s="256"/>
      <c r="M725" s="257"/>
      <c r="N725" s="258"/>
      <c r="O725" s="259"/>
      <c r="P725" s="260"/>
      <c r="Q725" s="260"/>
      <c r="R725" s="260"/>
    </row>
    <row r="726" ht="15.75" customHeight="1">
      <c r="E726" s="251"/>
      <c r="H726" s="252"/>
      <c r="I726" s="253"/>
      <c r="J726" s="254"/>
      <c r="K726" s="255"/>
      <c r="L726" s="256"/>
      <c r="M726" s="257"/>
      <c r="N726" s="258"/>
      <c r="O726" s="259"/>
      <c r="P726" s="260"/>
      <c r="Q726" s="260"/>
      <c r="R726" s="260"/>
    </row>
    <row r="727" ht="15.75" customHeight="1">
      <c r="E727" s="251"/>
      <c r="H727" s="252"/>
      <c r="I727" s="253"/>
      <c r="J727" s="254"/>
      <c r="K727" s="255"/>
      <c r="L727" s="256"/>
      <c r="M727" s="257"/>
      <c r="N727" s="258"/>
      <c r="O727" s="259"/>
      <c r="P727" s="260"/>
      <c r="Q727" s="260"/>
      <c r="R727" s="260"/>
    </row>
    <row r="728" ht="15.75" customHeight="1">
      <c r="E728" s="251"/>
      <c r="H728" s="252"/>
      <c r="I728" s="253"/>
      <c r="J728" s="254"/>
      <c r="K728" s="255"/>
      <c r="L728" s="256"/>
      <c r="M728" s="257"/>
      <c r="N728" s="258"/>
      <c r="O728" s="259"/>
      <c r="P728" s="260"/>
      <c r="Q728" s="260"/>
      <c r="R728" s="260"/>
    </row>
    <row r="729" ht="15.75" customHeight="1">
      <c r="E729" s="251"/>
      <c r="H729" s="252"/>
      <c r="I729" s="253"/>
      <c r="J729" s="254"/>
      <c r="K729" s="255"/>
      <c r="L729" s="256"/>
      <c r="M729" s="257"/>
      <c r="N729" s="258"/>
      <c r="O729" s="259"/>
      <c r="P729" s="260"/>
      <c r="Q729" s="260"/>
      <c r="R729" s="260"/>
    </row>
    <row r="730" ht="15.75" customHeight="1">
      <c r="E730" s="251"/>
      <c r="H730" s="252"/>
      <c r="I730" s="253"/>
      <c r="J730" s="254"/>
      <c r="K730" s="255"/>
      <c r="L730" s="256"/>
      <c r="M730" s="257"/>
      <c r="N730" s="258"/>
      <c r="O730" s="259"/>
      <c r="P730" s="260"/>
      <c r="Q730" s="260"/>
      <c r="R730" s="260"/>
    </row>
    <row r="731" ht="15.75" customHeight="1">
      <c r="E731" s="251"/>
      <c r="H731" s="252"/>
      <c r="I731" s="253"/>
      <c r="J731" s="254"/>
      <c r="K731" s="255"/>
      <c r="L731" s="256"/>
      <c r="M731" s="257"/>
      <c r="N731" s="258"/>
      <c r="O731" s="259"/>
      <c r="P731" s="260"/>
      <c r="Q731" s="260"/>
      <c r="R731" s="260"/>
    </row>
    <row r="732" ht="15.75" customHeight="1">
      <c r="E732" s="251"/>
      <c r="H732" s="252"/>
      <c r="I732" s="253"/>
      <c r="J732" s="254"/>
      <c r="K732" s="255"/>
      <c r="L732" s="256"/>
      <c r="M732" s="257"/>
      <c r="N732" s="258"/>
      <c r="O732" s="259"/>
      <c r="P732" s="260"/>
      <c r="Q732" s="260"/>
      <c r="R732" s="260"/>
    </row>
    <row r="733" ht="15.75" customHeight="1">
      <c r="E733" s="251"/>
      <c r="H733" s="252"/>
      <c r="I733" s="253"/>
      <c r="J733" s="254"/>
      <c r="K733" s="255"/>
      <c r="L733" s="256"/>
      <c r="M733" s="257"/>
      <c r="N733" s="258"/>
      <c r="O733" s="259"/>
      <c r="P733" s="260"/>
      <c r="Q733" s="260"/>
      <c r="R733" s="260"/>
    </row>
    <row r="734" ht="15.75" customHeight="1">
      <c r="E734" s="251"/>
      <c r="H734" s="252"/>
      <c r="I734" s="253"/>
      <c r="J734" s="254"/>
      <c r="K734" s="255"/>
      <c r="L734" s="256"/>
      <c r="M734" s="257"/>
      <c r="N734" s="258"/>
      <c r="O734" s="259"/>
      <c r="P734" s="260"/>
      <c r="Q734" s="260"/>
      <c r="R734" s="260"/>
    </row>
    <row r="735" ht="15.75" customHeight="1">
      <c r="E735" s="251"/>
      <c r="H735" s="252"/>
      <c r="I735" s="253"/>
      <c r="J735" s="254"/>
      <c r="K735" s="255"/>
      <c r="L735" s="256"/>
      <c r="M735" s="257"/>
      <c r="N735" s="258"/>
      <c r="O735" s="259"/>
      <c r="P735" s="260"/>
      <c r="Q735" s="260"/>
      <c r="R735" s="260"/>
    </row>
    <row r="736" ht="15.75" customHeight="1">
      <c r="E736" s="251"/>
      <c r="H736" s="252"/>
      <c r="I736" s="253"/>
      <c r="J736" s="254"/>
      <c r="K736" s="255"/>
      <c r="L736" s="256"/>
      <c r="M736" s="257"/>
      <c r="N736" s="258"/>
      <c r="O736" s="259"/>
      <c r="P736" s="260"/>
      <c r="Q736" s="260"/>
      <c r="R736" s="260"/>
    </row>
    <row r="737" ht="15.75" customHeight="1">
      <c r="E737" s="251"/>
      <c r="H737" s="252"/>
      <c r="I737" s="253"/>
      <c r="J737" s="254"/>
      <c r="K737" s="255"/>
      <c r="L737" s="256"/>
      <c r="M737" s="257"/>
      <c r="N737" s="258"/>
      <c r="O737" s="259"/>
      <c r="P737" s="260"/>
      <c r="Q737" s="260"/>
      <c r="R737" s="260"/>
    </row>
    <row r="738" ht="15.75" customHeight="1">
      <c r="E738" s="251"/>
      <c r="H738" s="252"/>
      <c r="I738" s="253"/>
      <c r="J738" s="254"/>
      <c r="K738" s="255"/>
      <c r="L738" s="256"/>
      <c r="M738" s="257"/>
      <c r="N738" s="258"/>
      <c r="O738" s="259"/>
      <c r="P738" s="260"/>
      <c r="Q738" s="260"/>
      <c r="R738" s="260"/>
    </row>
    <row r="739" ht="15.75" customHeight="1">
      <c r="E739" s="251"/>
      <c r="H739" s="252"/>
      <c r="I739" s="253"/>
      <c r="J739" s="254"/>
      <c r="K739" s="255"/>
      <c r="L739" s="256"/>
      <c r="M739" s="257"/>
      <c r="N739" s="258"/>
      <c r="O739" s="259"/>
      <c r="P739" s="260"/>
      <c r="Q739" s="260"/>
      <c r="R739" s="260"/>
    </row>
    <row r="740" ht="15.75" customHeight="1">
      <c r="E740" s="251"/>
      <c r="H740" s="252"/>
      <c r="I740" s="253"/>
      <c r="J740" s="254"/>
      <c r="K740" s="255"/>
      <c r="L740" s="256"/>
      <c r="M740" s="257"/>
      <c r="N740" s="258"/>
      <c r="O740" s="259"/>
      <c r="P740" s="260"/>
      <c r="Q740" s="260"/>
      <c r="R740" s="260"/>
    </row>
    <row r="741" ht="15.75" customHeight="1">
      <c r="E741" s="251"/>
      <c r="H741" s="252"/>
      <c r="I741" s="253"/>
      <c r="J741" s="254"/>
      <c r="K741" s="255"/>
      <c r="L741" s="256"/>
      <c r="M741" s="257"/>
      <c r="N741" s="258"/>
      <c r="O741" s="259"/>
      <c r="P741" s="260"/>
      <c r="Q741" s="260"/>
      <c r="R741" s="260"/>
    </row>
    <row r="742" ht="15.75" customHeight="1">
      <c r="E742" s="251"/>
      <c r="H742" s="252"/>
      <c r="I742" s="253"/>
      <c r="J742" s="254"/>
      <c r="K742" s="255"/>
      <c r="L742" s="256"/>
      <c r="M742" s="257"/>
      <c r="N742" s="258"/>
      <c r="O742" s="259"/>
      <c r="P742" s="260"/>
      <c r="Q742" s="260"/>
      <c r="R742" s="260"/>
    </row>
    <row r="743" ht="15.75" customHeight="1">
      <c r="E743" s="251"/>
      <c r="H743" s="252"/>
      <c r="I743" s="253"/>
      <c r="J743" s="254"/>
      <c r="K743" s="255"/>
      <c r="L743" s="256"/>
      <c r="M743" s="257"/>
      <c r="N743" s="258"/>
      <c r="O743" s="259"/>
      <c r="P743" s="260"/>
      <c r="Q743" s="260"/>
      <c r="R743" s="260"/>
    </row>
    <row r="744" ht="15.75" customHeight="1">
      <c r="E744" s="251"/>
      <c r="H744" s="252"/>
      <c r="I744" s="253"/>
      <c r="J744" s="254"/>
      <c r="K744" s="255"/>
      <c r="L744" s="256"/>
      <c r="M744" s="257"/>
      <c r="N744" s="258"/>
      <c r="O744" s="259"/>
      <c r="P744" s="260"/>
      <c r="Q744" s="260"/>
      <c r="R744" s="260"/>
    </row>
    <row r="745" ht="15.75" customHeight="1">
      <c r="E745" s="251"/>
      <c r="H745" s="252"/>
      <c r="I745" s="253"/>
      <c r="J745" s="254"/>
      <c r="K745" s="255"/>
      <c r="L745" s="256"/>
      <c r="M745" s="257"/>
      <c r="N745" s="258"/>
      <c r="O745" s="259"/>
      <c r="P745" s="260"/>
      <c r="Q745" s="260"/>
      <c r="R745" s="260"/>
    </row>
    <row r="746" ht="15.75" customHeight="1">
      <c r="E746" s="251"/>
      <c r="H746" s="252"/>
      <c r="I746" s="253"/>
      <c r="J746" s="254"/>
      <c r="K746" s="255"/>
      <c r="L746" s="256"/>
      <c r="M746" s="257"/>
      <c r="N746" s="258"/>
      <c r="O746" s="259"/>
      <c r="P746" s="260"/>
      <c r="Q746" s="260"/>
      <c r="R746" s="260"/>
    </row>
    <row r="747" ht="15.75" customHeight="1">
      <c r="E747" s="251"/>
      <c r="H747" s="252"/>
      <c r="I747" s="253"/>
      <c r="J747" s="254"/>
      <c r="K747" s="255"/>
      <c r="L747" s="256"/>
      <c r="M747" s="257"/>
      <c r="N747" s="258"/>
      <c r="O747" s="259"/>
      <c r="P747" s="260"/>
      <c r="Q747" s="260"/>
      <c r="R747" s="260"/>
    </row>
    <row r="748" ht="15.75" customHeight="1">
      <c r="E748" s="251"/>
      <c r="H748" s="252"/>
      <c r="I748" s="253"/>
      <c r="J748" s="254"/>
      <c r="K748" s="255"/>
      <c r="L748" s="256"/>
      <c r="M748" s="257"/>
      <c r="N748" s="258"/>
      <c r="O748" s="259"/>
      <c r="P748" s="260"/>
      <c r="Q748" s="260"/>
      <c r="R748" s="260"/>
    </row>
    <row r="749" ht="15.75" customHeight="1">
      <c r="E749" s="251"/>
      <c r="H749" s="252"/>
      <c r="I749" s="253"/>
      <c r="J749" s="254"/>
      <c r="K749" s="255"/>
      <c r="L749" s="256"/>
      <c r="M749" s="257"/>
      <c r="N749" s="258"/>
      <c r="O749" s="259"/>
      <c r="P749" s="260"/>
      <c r="Q749" s="260"/>
      <c r="R749" s="260"/>
    </row>
    <row r="750" ht="15.75" customHeight="1">
      <c r="E750" s="251"/>
      <c r="H750" s="252"/>
      <c r="I750" s="253"/>
      <c r="J750" s="254"/>
      <c r="K750" s="255"/>
      <c r="L750" s="256"/>
      <c r="M750" s="257"/>
      <c r="N750" s="258"/>
      <c r="O750" s="259"/>
      <c r="P750" s="260"/>
      <c r="Q750" s="260"/>
      <c r="R750" s="260"/>
    </row>
    <row r="751" ht="15.75" customHeight="1">
      <c r="E751" s="251"/>
      <c r="H751" s="252"/>
      <c r="I751" s="253"/>
      <c r="J751" s="254"/>
      <c r="K751" s="255"/>
      <c r="L751" s="256"/>
      <c r="M751" s="257"/>
      <c r="N751" s="258"/>
      <c r="O751" s="259"/>
      <c r="P751" s="260"/>
      <c r="Q751" s="260"/>
      <c r="R751" s="260"/>
    </row>
    <row r="752" ht="15.75" customHeight="1">
      <c r="E752" s="251"/>
      <c r="H752" s="252"/>
      <c r="I752" s="253"/>
      <c r="J752" s="254"/>
      <c r="K752" s="255"/>
      <c r="L752" s="256"/>
      <c r="M752" s="257"/>
      <c r="N752" s="258"/>
      <c r="O752" s="259"/>
      <c r="P752" s="260"/>
      <c r="Q752" s="260"/>
      <c r="R752" s="260"/>
    </row>
    <row r="753" ht="15.75" customHeight="1">
      <c r="E753" s="251"/>
      <c r="H753" s="252"/>
      <c r="I753" s="253"/>
      <c r="J753" s="254"/>
      <c r="K753" s="255"/>
      <c r="L753" s="256"/>
      <c r="M753" s="257"/>
      <c r="N753" s="258"/>
      <c r="O753" s="259"/>
      <c r="P753" s="260"/>
      <c r="Q753" s="260"/>
      <c r="R753" s="260"/>
    </row>
    <row r="754" ht="15.75" customHeight="1">
      <c r="E754" s="251"/>
      <c r="H754" s="252"/>
      <c r="I754" s="253"/>
      <c r="J754" s="254"/>
      <c r="K754" s="255"/>
      <c r="L754" s="256"/>
      <c r="M754" s="257"/>
      <c r="N754" s="258"/>
      <c r="O754" s="259"/>
      <c r="P754" s="260"/>
      <c r="Q754" s="260"/>
      <c r="R754" s="260"/>
    </row>
    <row r="755" ht="15.75" customHeight="1">
      <c r="E755" s="251"/>
      <c r="H755" s="252"/>
      <c r="I755" s="253"/>
      <c r="J755" s="254"/>
      <c r="K755" s="255"/>
      <c r="L755" s="256"/>
      <c r="M755" s="257"/>
      <c r="N755" s="258"/>
      <c r="O755" s="259"/>
      <c r="P755" s="260"/>
      <c r="Q755" s="260"/>
      <c r="R755" s="260"/>
    </row>
    <row r="756" ht="15.75" customHeight="1">
      <c r="E756" s="251"/>
      <c r="H756" s="252"/>
      <c r="I756" s="253"/>
      <c r="J756" s="254"/>
      <c r="K756" s="255"/>
      <c r="L756" s="256"/>
      <c r="M756" s="257"/>
      <c r="N756" s="258"/>
      <c r="O756" s="259"/>
      <c r="P756" s="260"/>
      <c r="Q756" s="260"/>
      <c r="R756" s="260"/>
    </row>
    <row r="757" ht="15.75" customHeight="1">
      <c r="E757" s="251"/>
      <c r="H757" s="252"/>
      <c r="I757" s="253"/>
      <c r="J757" s="254"/>
      <c r="K757" s="255"/>
      <c r="L757" s="256"/>
      <c r="M757" s="257"/>
      <c r="N757" s="258"/>
      <c r="O757" s="259"/>
      <c r="P757" s="260"/>
      <c r="Q757" s="260"/>
      <c r="R757" s="260"/>
    </row>
    <row r="758" ht="15.75" customHeight="1">
      <c r="E758" s="251"/>
      <c r="H758" s="252"/>
      <c r="I758" s="253"/>
      <c r="J758" s="254"/>
      <c r="K758" s="255"/>
      <c r="L758" s="256"/>
      <c r="M758" s="257"/>
      <c r="N758" s="258"/>
      <c r="O758" s="259"/>
      <c r="P758" s="260"/>
      <c r="Q758" s="260"/>
      <c r="R758" s="260"/>
    </row>
    <row r="759" ht="15.75" customHeight="1">
      <c r="E759" s="251"/>
      <c r="H759" s="252"/>
      <c r="I759" s="253"/>
      <c r="J759" s="254"/>
      <c r="K759" s="255"/>
      <c r="L759" s="256"/>
      <c r="M759" s="257"/>
      <c r="N759" s="258"/>
      <c r="O759" s="259"/>
      <c r="P759" s="260"/>
      <c r="Q759" s="260"/>
      <c r="R759" s="260"/>
    </row>
    <row r="760" ht="15.75" customHeight="1">
      <c r="E760" s="251"/>
      <c r="H760" s="252"/>
      <c r="I760" s="253"/>
      <c r="J760" s="254"/>
      <c r="K760" s="255"/>
      <c r="L760" s="256"/>
      <c r="M760" s="257"/>
      <c r="N760" s="258"/>
      <c r="O760" s="259"/>
      <c r="P760" s="260"/>
      <c r="Q760" s="260"/>
      <c r="R760" s="260"/>
    </row>
    <row r="761" ht="15.75" customHeight="1">
      <c r="E761" s="251"/>
      <c r="H761" s="252"/>
      <c r="I761" s="253"/>
      <c r="J761" s="254"/>
      <c r="K761" s="255"/>
      <c r="L761" s="256"/>
      <c r="M761" s="257"/>
      <c r="N761" s="258"/>
      <c r="O761" s="259"/>
      <c r="P761" s="260"/>
      <c r="Q761" s="260"/>
      <c r="R761" s="260"/>
    </row>
    <row r="762" ht="15.75" customHeight="1">
      <c r="E762" s="251"/>
      <c r="H762" s="252"/>
      <c r="I762" s="253"/>
      <c r="J762" s="254"/>
      <c r="K762" s="255"/>
      <c r="L762" s="256"/>
      <c r="M762" s="257"/>
      <c r="N762" s="258"/>
      <c r="O762" s="259"/>
      <c r="P762" s="260"/>
      <c r="Q762" s="260"/>
      <c r="R762" s="260"/>
    </row>
    <row r="763" ht="15.75" customHeight="1">
      <c r="E763" s="251"/>
      <c r="H763" s="252"/>
      <c r="I763" s="253"/>
      <c r="J763" s="254"/>
      <c r="K763" s="255"/>
      <c r="L763" s="256"/>
      <c r="M763" s="257"/>
      <c r="N763" s="258"/>
      <c r="O763" s="259"/>
      <c r="P763" s="260"/>
      <c r="Q763" s="260"/>
      <c r="R763" s="260"/>
    </row>
    <row r="764" ht="15.75" customHeight="1">
      <c r="E764" s="251"/>
      <c r="H764" s="252"/>
      <c r="I764" s="253"/>
      <c r="J764" s="254"/>
      <c r="K764" s="255"/>
      <c r="L764" s="256"/>
      <c r="M764" s="257"/>
      <c r="N764" s="258"/>
      <c r="O764" s="259"/>
      <c r="P764" s="260"/>
      <c r="Q764" s="260"/>
      <c r="R764" s="260"/>
    </row>
    <row r="765" ht="15.75" customHeight="1">
      <c r="E765" s="251"/>
      <c r="H765" s="252"/>
      <c r="I765" s="253"/>
      <c r="J765" s="254"/>
      <c r="K765" s="255"/>
      <c r="L765" s="256"/>
      <c r="M765" s="257"/>
      <c r="N765" s="258"/>
      <c r="O765" s="259"/>
      <c r="P765" s="260"/>
      <c r="Q765" s="260"/>
      <c r="R765" s="260"/>
    </row>
    <row r="766" ht="15.75" customHeight="1">
      <c r="E766" s="251"/>
      <c r="H766" s="252"/>
      <c r="I766" s="253"/>
      <c r="J766" s="254"/>
      <c r="K766" s="255"/>
      <c r="L766" s="256"/>
      <c r="M766" s="257"/>
      <c r="N766" s="258"/>
      <c r="O766" s="259"/>
      <c r="P766" s="260"/>
      <c r="Q766" s="260"/>
      <c r="R766" s="260"/>
    </row>
    <row r="767" ht="15.75" customHeight="1">
      <c r="E767" s="251"/>
      <c r="H767" s="252"/>
      <c r="I767" s="253"/>
      <c r="J767" s="254"/>
      <c r="K767" s="255"/>
      <c r="L767" s="256"/>
      <c r="M767" s="257"/>
      <c r="N767" s="258"/>
      <c r="O767" s="259"/>
      <c r="P767" s="260"/>
      <c r="Q767" s="260"/>
      <c r="R767" s="260"/>
    </row>
    <row r="768" ht="15.75" customHeight="1">
      <c r="E768" s="251"/>
      <c r="H768" s="252"/>
      <c r="I768" s="253"/>
      <c r="J768" s="254"/>
      <c r="K768" s="255"/>
      <c r="L768" s="256"/>
      <c r="M768" s="257"/>
      <c r="N768" s="258"/>
      <c r="O768" s="259"/>
      <c r="P768" s="260"/>
      <c r="Q768" s="260"/>
      <c r="R768" s="260"/>
    </row>
    <row r="769" ht="15.75" customHeight="1">
      <c r="E769" s="251"/>
      <c r="H769" s="252"/>
      <c r="I769" s="253"/>
      <c r="J769" s="254"/>
      <c r="K769" s="255"/>
      <c r="L769" s="256"/>
      <c r="M769" s="257"/>
      <c r="N769" s="258"/>
      <c r="O769" s="259"/>
      <c r="P769" s="260"/>
      <c r="Q769" s="260"/>
      <c r="R769" s="260"/>
    </row>
    <row r="770" ht="15.75" customHeight="1">
      <c r="E770" s="251"/>
      <c r="H770" s="252"/>
      <c r="I770" s="253"/>
      <c r="J770" s="254"/>
      <c r="K770" s="255"/>
      <c r="L770" s="256"/>
      <c r="M770" s="257"/>
      <c r="N770" s="258"/>
      <c r="O770" s="259"/>
      <c r="P770" s="260"/>
      <c r="Q770" s="260"/>
      <c r="R770" s="260"/>
    </row>
    <row r="771" ht="15.75" customHeight="1">
      <c r="E771" s="251"/>
      <c r="H771" s="252"/>
      <c r="I771" s="253"/>
      <c r="J771" s="254"/>
      <c r="K771" s="255"/>
      <c r="L771" s="256"/>
      <c r="M771" s="257"/>
      <c r="N771" s="258"/>
      <c r="O771" s="259"/>
      <c r="P771" s="260"/>
      <c r="Q771" s="260"/>
      <c r="R771" s="260"/>
    </row>
    <row r="772" ht="15.75" customHeight="1">
      <c r="E772" s="251"/>
      <c r="H772" s="252"/>
      <c r="I772" s="253"/>
      <c r="J772" s="254"/>
      <c r="K772" s="255"/>
      <c r="L772" s="256"/>
      <c r="M772" s="257"/>
      <c r="N772" s="258"/>
      <c r="O772" s="259"/>
      <c r="P772" s="260"/>
      <c r="Q772" s="260"/>
      <c r="R772" s="260"/>
    </row>
    <row r="773" ht="15.75" customHeight="1">
      <c r="E773" s="251"/>
      <c r="H773" s="252"/>
      <c r="I773" s="253"/>
      <c r="J773" s="254"/>
      <c r="K773" s="255"/>
      <c r="L773" s="256"/>
      <c r="M773" s="257"/>
      <c r="N773" s="258"/>
      <c r="O773" s="259"/>
      <c r="P773" s="260"/>
      <c r="Q773" s="260"/>
      <c r="R773" s="260"/>
    </row>
    <row r="774" ht="15.75" customHeight="1">
      <c r="E774" s="251"/>
      <c r="H774" s="252"/>
      <c r="I774" s="253"/>
      <c r="J774" s="254"/>
      <c r="K774" s="255"/>
      <c r="L774" s="256"/>
      <c r="M774" s="257"/>
      <c r="N774" s="258"/>
      <c r="O774" s="259"/>
      <c r="P774" s="260"/>
      <c r="Q774" s="260"/>
      <c r="R774" s="260"/>
    </row>
    <row r="775" ht="15.75" customHeight="1">
      <c r="E775" s="251"/>
      <c r="H775" s="252"/>
      <c r="I775" s="253"/>
      <c r="J775" s="254"/>
      <c r="K775" s="255"/>
      <c r="L775" s="256"/>
      <c r="M775" s="257"/>
      <c r="N775" s="258"/>
      <c r="O775" s="259"/>
      <c r="P775" s="260"/>
      <c r="Q775" s="260"/>
      <c r="R775" s="260"/>
    </row>
    <row r="776" ht="15.75" customHeight="1">
      <c r="E776" s="251"/>
      <c r="H776" s="252"/>
      <c r="I776" s="253"/>
      <c r="J776" s="254"/>
      <c r="K776" s="255"/>
      <c r="L776" s="256"/>
      <c r="M776" s="257"/>
      <c r="N776" s="258"/>
      <c r="O776" s="259"/>
      <c r="P776" s="260"/>
      <c r="Q776" s="260"/>
      <c r="R776" s="260"/>
    </row>
    <row r="777" ht="15.75" customHeight="1">
      <c r="E777" s="251"/>
      <c r="H777" s="252"/>
      <c r="I777" s="253"/>
      <c r="J777" s="254"/>
      <c r="K777" s="255"/>
      <c r="L777" s="256"/>
      <c r="M777" s="257"/>
      <c r="N777" s="258"/>
      <c r="O777" s="259"/>
      <c r="P777" s="260"/>
      <c r="Q777" s="260"/>
      <c r="R777" s="260"/>
    </row>
    <row r="778" ht="15.75" customHeight="1">
      <c r="E778" s="251"/>
      <c r="H778" s="252"/>
      <c r="I778" s="253"/>
      <c r="J778" s="254"/>
      <c r="K778" s="255"/>
      <c r="L778" s="256"/>
      <c r="M778" s="257"/>
      <c r="N778" s="258"/>
      <c r="O778" s="259"/>
      <c r="P778" s="260"/>
      <c r="Q778" s="260"/>
      <c r="R778" s="260"/>
    </row>
    <row r="779" ht="15.75" customHeight="1">
      <c r="E779" s="251"/>
      <c r="H779" s="252"/>
      <c r="I779" s="253"/>
      <c r="J779" s="254"/>
      <c r="K779" s="255"/>
      <c r="L779" s="256"/>
      <c r="M779" s="257"/>
      <c r="N779" s="258"/>
      <c r="O779" s="259"/>
      <c r="P779" s="260"/>
      <c r="Q779" s="260"/>
      <c r="R779" s="260"/>
    </row>
    <row r="780" ht="15.75" customHeight="1">
      <c r="E780" s="251"/>
      <c r="H780" s="252"/>
      <c r="I780" s="253"/>
      <c r="J780" s="254"/>
      <c r="K780" s="255"/>
      <c r="L780" s="256"/>
      <c r="M780" s="257"/>
      <c r="N780" s="258"/>
      <c r="O780" s="259"/>
      <c r="P780" s="260"/>
      <c r="Q780" s="260"/>
      <c r="R780" s="260"/>
    </row>
    <row r="781" ht="15.75" customHeight="1">
      <c r="E781" s="251"/>
      <c r="H781" s="252"/>
      <c r="I781" s="253"/>
      <c r="J781" s="254"/>
      <c r="K781" s="255"/>
      <c r="L781" s="256"/>
      <c r="M781" s="257"/>
      <c r="N781" s="258"/>
      <c r="O781" s="259"/>
      <c r="P781" s="260"/>
      <c r="Q781" s="260"/>
      <c r="R781" s="260"/>
    </row>
    <row r="782" ht="15.75" customHeight="1">
      <c r="E782" s="251"/>
      <c r="H782" s="252"/>
      <c r="I782" s="253"/>
      <c r="J782" s="254"/>
      <c r="K782" s="255"/>
      <c r="L782" s="256"/>
      <c r="M782" s="257"/>
      <c r="N782" s="258"/>
      <c r="O782" s="259"/>
      <c r="P782" s="260"/>
      <c r="Q782" s="260"/>
      <c r="R782" s="260"/>
    </row>
    <row r="783" ht="15.75" customHeight="1">
      <c r="E783" s="251"/>
      <c r="H783" s="252"/>
      <c r="I783" s="253"/>
      <c r="J783" s="254"/>
      <c r="K783" s="255"/>
      <c r="L783" s="256"/>
      <c r="M783" s="257"/>
      <c r="N783" s="258"/>
      <c r="O783" s="259"/>
      <c r="P783" s="260"/>
      <c r="Q783" s="260"/>
      <c r="R783" s="260"/>
    </row>
    <row r="784" ht="15.75" customHeight="1">
      <c r="E784" s="251"/>
      <c r="H784" s="252"/>
      <c r="I784" s="253"/>
      <c r="J784" s="254"/>
      <c r="K784" s="255"/>
      <c r="L784" s="256"/>
      <c r="M784" s="257"/>
      <c r="N784" s="258"/>
      <c r="O784" s="259"/>
      <c r="P784" s="260"/>
      <c r="Q784" s="260"/>
      <c r="R784" s="260"/>
    </row>
    <row r="785" ht="15.75" customHeight="1">
      <c r="E785" s="251"/>
      <c r="H785" s="252"/>
      <c r="I785" s="253"/>
      <c r="J785" s="254"/>
      <c r="K785" s="255"/>
      <c r="L785" s="256"/>
      <c r="M785" s="257"/>
      <c r="N785" s="258"/>
      <c r="O785" s="259"/>
      <c r="P785" s="260"/>
      <c r="Q785" s="260"/>
      <c r="R785" s="260"/>
    </row>
    <row r="786" ht="15.75" customHeight="1">
      <c r="E786" s="251"/>
      <c r="H786" s="252"/>
      <c r="I786" s="253"/>
      <c r="J786" s="254"/>
      <c r="K786" s="255"/>
      <c r="L786" s="256"/>
      <c r="M786" s="257"/>
      <c r="N786" s="258"/>
      <c r="O786" s="259"/>
      <c r="P786" s="260"/>
      <c r="Q786" s="260"/>
      <c r="R786" s="260"/>
    </row>
    <row r="787" ht="15.75" customHeight="1">
      <c r="E787" s="251"/>
      <c r="H787" s="252"/>
      <c r="I787" s="253"/>
      <c r="J787" s="254"/>
      <c r="K787" s="255"/>
      <c r="L787" s="256"/>
      <c r="M787" s="257"/>
      <c r="N787" s="258"/>
      <c r="O787" s="259"/>
      <c r="P787" s="260"/>
      <c r="Q787" s="260"/>
      <c r="R787" s="260"/>
    </row>
    <row r="788" ht="15.75" customHeight="1">
      <c r="E788" s="251"/>
      <c r="H788" s="252"/>
      <c r="I788" s="253"/>
      <c r="J788" s="254"/>
      <c r="K788" s="255"/>
      <c r="L788" s="256"/>
      <c r="M788" s="257"/>
      <c r="N788" s="258"/>
      <c r="O788" s="259"/>
      <c r="P788" s="260"/>
      <c r="Q788" s="260"/>
      <c r="R788" s="260"/>
    </row>
    <row r="789" ht="15.75" customHeight="1">
      <c r="E789" s="251"/>
      <c r="H789" s="252"/>
      <c r="I789" s="253"/>
      <c r="J789" s="254"/>
      <c r="K789" s="255"/>
      <c r="L789" s="256"/>
      <c r="M789" s="257"/>
      <c r="N789" s="258"/>
      <c r="O789" s="259"/>
      <c r="P789" s="260"/>
      <c r="Q789" s="260"/>
      <c r="R789" s="260"/>
    </row>
    <row r="790" ht="15.75" customHeight="1">
      <c r="E790" s="251"/>
      <c r="H790" s="252"/>
      <c r="I790" s="253"/>
      <c r="J790" s="254"/>
      <c r="K790" s="255"/>
      <c r="L790" s="256"/>
      <c r="M790" s="257"/>
      <c r="N790" s="258"/>
      <c r="O790" s="259"/>
      <c r="P790" s="260"/>
      <c r="Q790" s="260"/>
      <c r="R790" s="260"/>
    </row>
    <row r="791" ht="15.75" customHeight="1">
      <c r="E791" s="251"/>
      <c r="H791" s="252"/>
      <c r="I791" s="253"/>
      <c r="J791" s="254"/>
      <c r="K791" s="255"/>
      <c r="L791" s="256"/>
      <c r="M791" s="257"/>
      <c r="N791" s="258"/>
      <c r="O791" s="259"/>
      <c r="P791" s="260"/>
      <c r="Q791" s="260"/>
      <c r="R791" s="260"/>
    </row>
    <row r="792" ht="15.75" customHeight="1">
      <c r="E792" s="251"/>
      <c r="H792" s="252"/>
      <c r="I792" s="253"/>
      <c r="J792" s="254"/>
      <c r="K792" s="255"/>
      <c r="L792" s="256"/>
      <c r="M792" s="257"/>
      <c r="N792" s="258"/>
      <c r="O792" s="259"/>
      <c r="P792" s="260"/>
      <c r="Q792" s="260"/>
      <c r="R792" s="260"/>
    </row>
    <row r="793" ht="15.75" customHeight="1">
      <c r="E793" s="251"/>
      <c r="H793" s="252"/>
      <c r="I793" s="253"/>
      <c r="J793" s="254"/>
      <c r="K793" s="255"/>
      <c r="L793" s="256"/>
      <c r="M793" s="257"/>
      <c r="N793" s="258"/>
      <c r="O793" s="259"/>
      <c r="P793" s="260"/>
      <c r="Q793" s="260"/>
      <c r="R793" s="260"/>
    </row>
    <row r="794" ht="15.75" customHeight="1">
      <c r="E794" s="251"/>
      <c r="H794" s="252"/>
      <c r="I794" s="253"/>
      <c r="J794" s="254"/>
      <c r="K794" s="255"/>
      <c r="L794" s="256"/>
      <c r="M794" s="257"/>
      <c r="N794" s="258"/>
      <c r="O794" s="259"/>
      <c r="P794" s="260"/>
      <c r="Q794" s="260"/>
      <c r="R794" s="260"/>
    </row>
    <row r="795" ht="15.75" customHeight="1">
      <c r="E795" s="251"/>
      <c r="H795" s="252"/>
      <c r="I795" s="253"/>
      <c r="J795" s="254"/>
      <c r="K795" s="255"/>
      <c r="L795" s="256"/>
      <c r="M795" s="257"/>
      <c r="N795" s="258"/>
      <c r="O795" s="259"/>
      <c r="P795" s="260"/>
      <c r="Q795" s="260"/>
      <c r="R795" s="260"/>
    </row>
    <row r="796" ht="15.75" customHeight="1">
      <c r="E796" s="251"/>
      <c r="H796" s="252"/>
      <c r="I796" s="253"/>
      <c r="J796" s="254"/>
      <c r="K796" s="255"/>
      <c r="L796" s="256"/>
      <c r="M796" s="257"/>
      <c r="N796" s="258"/>
      <c r="O796" s="259"/>
      <c r="P796" s="260"/>
      <c r="Q796" s="260"/>
      <c r="R796" s="260"/>
    </row>
    <row r="797" ht="15.75" customHeight="1">
      <c r="E797" s="251"/>
      <c r="H797" s="252"/>
      <c r="I797" s="253"/>
      <c r="J797" s="254"/>
      <c r="K797" s="255"/>
      <c r="L797" s="256"/>
      <c r="M797" s="257"/>
      <c r="N797" s="258"/>
      <c r="O797" s="259"/>
      <c r="P797" s="260"/>
      <c r="Q797" s="260"/>
      <c r="R797" s="260"/>
    </row>
    <row r="798" ht="15.75" customHeight="1">
      <c r="E798" s="251"/>
      <c r="H798" s="252"/>
      <c r="I798" s="253"/>
      <c r="J798" s="254"/>
      <c r="K798" s="255"/>
      <c r="L798" s="256"/>
      <c r="M798" s="257"/>
      <c r="N798" s="258"/>
      <c r="O798" s="259"/>
      <c r="P798" s="260"/>
      <c r="Q798" s="260"/>
      <c r="R798" s="260"/>
    </row>
    <row r="799" ht="15.75" customHeight="1">
      <c r="E799" s="251"/>
      <c r="H799" s="252"/>
      <c r="I799" s="253"/>
      <c r="J799" s="254"/>
      <c r="K799" s="255"/>
      <c r="L799" s="256"/>
      <c r="M799" s="257"/>
      <c r="N799" s="258"/>
      <c r="O799" s="259"/>
      <c r="P799" s="260"/>
      <c r="Q799" s="260"/>
      <c r="R799" s="260"/>
    </row>
    <row r="800" ht="15.75" customHeight="1">
      <c r="E800" s="251"/>
      <c r="H800" s="252"/>
      <c r="I800" s="253"/>
      <c r="J800" s="254"/>
      <c r="K800" s="255"/>
      <c r="L800" s="256"/>
      <c r="M800" s="257"/>
      <c r="N800" s="258"/>
      <c r="O800" s="259"/>
      <c r="P800" s="260"/>
      <c r="Q800" s="260"/>
      <c r="R800" s="260"/>
    </row>
    <row r="801" ht="15.75" customHeight="1">
      <c r="E801" s="251"/>
      <c r="H801" s="252"/>
      <c r="I801" s="253"/>
      <c r="J801" s="254"/>
      <c r="K801" s="255"/>
      <c r="L801" s="256"/>
      <c r="M801" s="257"/>
      <c r="N801" s="258"/>
      <c r="O801" s="259"/>
      <c r="P801" s="260"/>
      <c r="Q801" s="260"/>
      <c r="R801" s="260"/>
    </row>
    <row r="802" ht="15.75" customHeight="1">
      <c r="E802" s="251"/>
      <c r="H802" s="252"/>
      <c r="I802" s="253"/>
      <c r="J802" s="254"/>
      <c r="K802" s="255"/>
      <c r="L802" s="256"/>
      <c r="M802" s="257"/>
      <c r="N802" s="258"/>
      <c r="O802" s="259"/>
      <c r="P802" s="260"/>
      <c r="Q802" s="260"/>
      <c r="R802" s="260"/>
    </row>
    <row r="803" ht="15.75" customHeight="1">
      <c r="E803" s="251"/>
      <c r="H803" s="252"/>
      <c r="I803" s="253"/>
      <c r="J803" s="254"/>
      <c r="K803" s="255"/>
      <c r="L803" s="256"/>
      <c r="M803" s="257"/>
      <c r="N803" s="258"/>
      <c r="O803" s="259"/>
      <c r="P803" s="260"/>
      <c r="Q803" s="260"/>
      <c r="R803" s="260"/>
    </row>
    <row r="804" ht="15.75" customHeight="1">
      <c r="E804" s="251"/>
      <c r="H804" s="252"/>
      <c r="I804" s="253"/>
      <c r="J804" s="254"/>
      <c r="K804" s="255"/>
      <c r="L804" s="256"/>
      <c r="M804" s="257"/>
      <c r="N804" s="258"/>
      <c r="O804" s="259"/>
      <c r="P804" s="260"/>
      <c r="Q804" s="260"/>
      <c r="R804" s="260"/>
    </row>
    <row r="805" ht="15.75" customHeight="1">
      <c r="E805" s="251"/>
      <c r="H805" s="252"/>
      <c r="I805" s="253"/>
      <c r="J805" s="254"/>
      <c r="K805" s="255"/>
      <c r="L805" s="256"/>
      <c r="M805" s="257"/>
      <c r="N805" s="258"/>
      <c r="O805" s="259"/>
      <c r="P805" s="260"/>
      <c r="Q805" s="260"/>
      <c r="R805" s="260"/>
    </row>
    <row r="806" ht="15.75" customHeight="1">
      <c r="E806" s="251"/>
      <c r="H806" s="252"/>
      <c r="I806" s="253"/>
      <c r="J806" s="254"/>
      <c r="K806" s="255"/>
      <c r="L806" s="256"/>
      <c r="M806" s="257"/>
      <c r="N806" s="258"/>
      <c r="O806" s="259"/>
      <c r="P806" s="260"/>
      <c r="Q806" s="260"/>
      <c r="R806" s="260"/>
    </row>
    <row r="807" ht="15.75" customHeight="1">
      <c r="E807" s="251"/>
      <c r="H807" s="252"/>
      <c r="I807" s="253"/>
      <c r="J807" s="254"/>
      <c r="K807" s="255"/>
      <c r="L807" s="256"/>
      <c r="M807" s="257"/>
      <c r="N807" s="258"/>
      <c r="O807" s="259"/>
      <c r="P807" s="260"/>
      <c r="Q807" s="260"/>
      <c r="R807" s="260"/>
    </row>
    <row r="808" ht="15.75" customHeight="1">
      <c r="E808" s="251"/>
      <c r="H808" s="252"/>
      <c r="I808" s="253"/>
      <c r="J808" s="254"/>
      <c r="K808" s="255"/>
      <c r="L808" s="256"/>
      <c r="M808" s="257"/>
      <c r="N808" s="258"/>
      <c r="O808" s="259"/>
      <c r="P808" s="260"/>
      <c r="Q808" s="260"/>
      <c r="R808" s="260"/>
    </row>
    <row r="809" ht="15.75" customHeight="1">
      <c r="E809" s="251"/>
      <c r="H809" s="252"/>
      <c r="I809" s="253"/>
      <c r="J809" s="254"/>
      <c r="K809" s="255"/>
      <c r="L809" s="256"/>
      <c r="M809" s="257"/>
      <c r="N809" s="258"/>
      <c r="O809" s="259"/>
      <c r="P809" s="260"/>
      <c r="Q809" s="260"/>
      <c r="R809" s="260"/>
    </row>
    <row r="810" ht="15.75" customHeight="1">
      <c r="E810" s="251"/>
      <c r="H810" s="252"/>
      <c r="I810" s="253"/>
      <c r="J810" s="254"/>
      <c r="K810" s="255"/>
      <c r="L810" s="256"/>
      <c r="M810" s="257"/>
      <c r="N810" s="258"/>
      <c r="O810" s="259"/>
      <c r="P810" s="260"/>
      <c r="Q810" s="260"/>
      <c r="R810" s="260"/>
    </row>
    <row r="811" ht="15.75" customHeight="1">
      <c r="E811" s="251"/>
      <c r="H811" s="252"/>
      <c r="I811" s="253"/>
      <c r="J811" s="254"/>
      <c r="K811" s="255"/>
      <c r="L811" s="256"/>
      <c r="M811" s="257"/>
      <c r="N811" s="258"/>
      <c r="O811" s="259"/>
      <c r="P811" s="260"/>
      <c r="Q811" s="260"/>
      <c r="R811" s="260"/>
    </row>
    <row r="812" ht="15.75" customHeight="1">
      <c r="E812" s="251"/>
      <c r="H812" s="252"/>
      <c r="I812" s="253"/>
      <c r="J812" s="254"/>
      <c r="K812" s="255"/>
      <c r="L812" s="256"/>
      <c r="M812" s="257"/>
      <c r="N812" s="258"/>
      <c r="O812" s="259"/>
      <c r="P812" s="260"/>
      <c r="Q812" s="260"/>
      <c r="R812" s="260"/>
    </row>
    <row r="813" ht="15.75" customHeight="1">
      <c r="E813" s="251"/>
      <c r="H813" s="252"/>
      <c r="I813" s="253"/>
      <c r="J813" s="254"/>
      <c r="K813" s="255"/>
      <c r="L813" s="256"/>
      <c r="M813" s="257"/>
      <c r="N813" s="258"/>
      <c r="O813" s="259"/>
      <c r="P813" s="260"/>
      <c r="Q813" s="260"/>
      <c r="R813" s="260"/>
    </row>
    <row r="814" ht="15.75" customHeight="1">
      <c r="E814" s="251"/>
      <c r="H814" s="252"/>
      <c r="I814" s="253"/>
      <c r="J814" s="254"/>
      <c r="K814" s="255"/>
      <c r="L814" s="256"/>
      <c r="M814" s="257"/>
      <c r="N814" s="258"/>
      <c r="O814" s="259"/>
      <c r="P814" s="260"/>
      <c r="Q814" s="260"/>
      <c r="R814" s="260"/>
    </row>
    <row r="815" ht="15.75" customHeight="1">
      <c r="E815" s="251"/>
      <c r="H815" s="252"/>
      <c r="I815" s="253"/>
      <c r="J815" s="254"/>
      <c r="K815" s="255"/>
      <c r="L815" s="256"/>
      <c r="M815" s="257"/>
      <c r="N815" s="258"/>
      <c r="O815" s="259"/>
      <c r="P815" s="260"/>
      <c r="Q815" s="260"/>
      <c r="R815" s="260"/>
    </row>
    <row r="816" ht="15.75" customHeight="1">
      <c r="E816" s="251"/>
      <c r="H816" s="252"/>
      <c r="I816" s="253"/>
      <c r="J816" s="254"/>
      <c r="K816" s="255"/>
      <c r="L816" s="256"/>
      <c r="M816" s="257"/>
      <c r="N816" s="258"/>
      <c r="O816" s="259"/>
      <c r="P816" s="260"/>
      <c r="Q816" s="260"/>
      <c r="R816" s="260"/>
    </row>
    <row r="817" ht="15.75" customHeight="1">
      <c r="E817" s="251"/>
      <c r="H817" s="252"/>
      <c r="I817" s="253"/>
      <c r="J817" s="254"/>
      <c r="K817" s="255"/>
      <c r="L817" s="256"/>
      <c r="M817" s="257"/>
      <c r="N817" s="258"/>
      <c r="O817" s="259"/>
      <c r="P817" s="260"/>
      <c r="Q817" s="260"/>
      <c r="R817" s="260"/>
    </row>
    <row r="818" ht="15.75" customHeight="1">
      <c r="E818" s="251"/>
      <c r="H818" s="252"/>
      <c r="I818" s="253"/>
      <c r="J818" s="254"/>
      <c r="K818" s="255"/>
      <c r="L818" s="256"/>
      <c r="M818" s="257"/>
      <c r="N818" s="258"/>
      <c r="O818" s="259"/>
      <c r="P818" s="260"/>
      <c r="Q818" s="260"/>
      <c r="R818" s="260"/>
    </row>
    <row r="819" ht="15.75" customHeight="1">
      <c r="E819" s="251"/>
      <c r="H819" s="252"/>
      <c r="I819" s="253"/>
      <c r="J819" s="254"/>
      <c r="K819" s="255"/>
      <c r="L819" s="256"/>
      <c r="M819" s="257"/>
      <c r="N819" s="258"/>
      <c r="O819" s="259"/>
      <c r="P819" s="260"/>
      <c r="Q819" s="260"/>
      <c r="R819" s="260"/>
    </row>
    <row r="820" ht="15.75" customHeight="1">
      <c r="E820" s="251"/>
      <c r="H820" s="252"/>
      <c r="I820" s="253"/>
      <c r="J820" s="254"/>
      <c r="K820" s="255"/>
      <c r="L820" s="256"/>
      <c r="M820" s="257"/>
      <c r="N820" s="258"/>
      <c r="O820" s="259"/>
      <c r="P820" s="260"/>
      <c r="Q820" s="260"/>
      <c r="R820" s="260"/>
    </row>
    <row r="821" ht="15.75" customHeight="1">
      <c r="E821" s="251"/>
      <c r="H821" s="252"/>
      <c r="I821" s="253"/>
      <c r="J821" s="254"/>
      <c r="K821" s="255"/>
      <c r="L821" s="256"/>
      <c r="M821" s="257"/>
      <c r="N821" s="258"/>
      <c r="O821" s="259"/>
      <c r="P821" s="260"/>
      <c r="Q821" s="260"/>
      <c r="R821" s="260"/>
    </row>
    <row r="822" ht="15.75" customHeight="1">
      <c r="E822" s="251"/>
      <c r="H822" s="252"/>
      <c r="I822" s="253"/>
      <c r="J822" s="254"/>
      <c r="K822" s="255"/>
      <c r="L822" s="256"/>
      <c r="M822" s="257"/>
      <c r="N822" s="258"/>
      <c r="O822" s="259"/>
      <c r="P822" s="260"/>
      <c r="Q822" s="260"/>
      <c r="R822" s="260"/>
    </row>
    <row r="823" ht="15.75" customHeight="1">
      <c r="E823" s="251"/>
      <c r="H823" s="252"/>
      <c r="I823" s="253"/>
      <c r="J823" s="254"/>
      <c r="K823" s="255"/>
      <c r="L823" s="256"/>
      <c r="M823" s="257"/>
      <c r="N823" s="258"/>
      <c r="O823" s="259"/>
      <c r="P823" s="260"/>
      <c r="Q823" s="260"/>
      <c r="R823" s="260"/>
    </row>
    <row r="824" ht="15.75" customHeight="1">
      <c r="E824" s="251"/>
      <c r="H824" s="252"/>
      <c r="I824" s="253"/>
      <c r="J824" s="254"/>
      <c r="K824" s="255"/>
      <c r="L824" s="256"/>
      <c r="M824" s="257"/>
      <c r="N824" s="258"/>
      <c r="O824" s="259"/>
      <c r="P824" s="260"/>
      <c r="Q824" s="260"/>
      <c r="R824" s="260"/>
    </row>
    <row r="825" ht="15.75" customHeight="1">
      <c r="E825" s="251"/>
      <c r="H825" s="252"/>
      <c r="I825" s="253"/>
      <c r="J825" s="254"/>
      <c r="K825" s="255"/>
      <c r="L825" s="256"/>
      <c r="M825" s="257"/>
      <c r="N825" s="258"/>
      <c r="O825" s="259"/>
      <c r="P825" s="260"/>
      <c r="Q825" s="260"/>
      <c r="R825" s="260"/>
    </row>
    <row r="826" ht="15.75" customHeight="1">
      <c r="E826" s="251"/>
      <c r="H826" s="252"/>
      <c r="I826" s="253"/>
      <c r="J826" s="254"/>
      <c r="K826" s="255"/>
      <c r="L826" s="256"/>
      <c r="M826" s="257"/>
      <c r="N826" s="258"/>
      <c r="O826" s="259"/>
      <c r="P826" s="260"/>
      <c r="Q826" s="260"/>
      <c r="R826" s="260"/>
    </row>
    <row r="827" ht="15.75" customHeight="1">
      <c r="E827" s="251"/>
      <c r="H827" s="252"/>
      <c r="I827" s="253"/>
      <c r="J827" s="254"/>
      <c r="K827" s="255"/>
      <c r="L827" s="256"/>
      <c r="M827" s="257"/>
      <c r="N827" s="258"/>
      <c r="O827" s="259"/>
      <c r="P827" s="260"/>
      <c r="Q827" s="260"/>
      <c r="R827" s="260"/>
    </row>
    <row r="828" ht="15.75" customHeight="1">
      <c r="E828" s="251"/>
      <c r="H828" s="252"/>
      <c r="I828" s="253"/>
      <c r="J828" s="254"/>
      <c r="K828" s="255"/>
      <c r="L828" s="256"/>
      <c r="M828" s="257"/>
      <c r="N828" s="258"/>
      <c r="O828" s="259"/>
      <c r="P828" s="260"/>
      <c r="Q828" s="260"/>
      <c r="R828" s="260"/>
    </row>
    <row r="829" ht="15.75" customHeight="1">
      <c r="E829" s="251"/>
      <c r="H829" s="252"/>
      <c r="I829" s="253"/>
      <c r="J829" s="254"/>
      <c r="K829" s="255"/>
      <c r="L829" s="256"/>
      <c r="M829" s="257"/>
      <c r="N829" s="258"/>
      <c r="O829" s="259"/>
      <c r="P829" s="260"/>
      <c r="Q829" s="260"/>
      <c r="R829" s="260"/>
    </row>
    <row r="830" ht="15.75" customHeight="1">
      <c r="E830" s="251"/>
      <c r="H830" s="252"/>
      <c r="I830" s="253"/>
      <c r="J830" s="254"/>
      <c r="K830" s="255"/>
      <c r="L830" s="256"/>
      <c r="M830" s="257"/>
      <c r="N830" s="258"/>
      <c r="O830" s="259"/>
      <c r="P830" s="260"/>
      <c r="Q830" s="260"/>
      <c r="R830" s="260"/>
    </row>
    <row r="831" ht="15.75" customHeight="1">
      <c r="E831" s="251"/>
      <c r="H831" s="252"/>
      <c r="I831" s="253"/>
      <c r="J831" s="254"/>
      <c r="K831" s="255"/>
      <c r="L831" s="256"/>
      <c r="M831" s="257"/>
      <c r="N831" s="258"/>
      <c r="O831" s="259"/>
      <c r="P831" s="260"/>
      <c r="Q831" s="260"/>
      <c r="R831" s="260"/>
    </row>
    <row r="832" ht="15.75" customHeight="1">
      <c r="E832" s="251"/>
      <c r="H832" s="252"/>
      <c r="I832" s="253"/>
      <c r="J832" s="254"/>
      <c r="K832" s="255"/>
      <c r="L832" s="256"/>
      <c r="M832" s="257"/>
      <c r="N832" s="258"/>
      <c r="O832" s="259"/>
      <c r="P832" s="260"/>
      <c r="Q832" s="260"/>
      <c r="R832" s="260"/>
    </row>
    <row r="833" ht="15.75" customHeight="1">
      <c r="E833" s="251"/>
      <c r="H833" s="252"/>
      <c r="I833" s="253"/>
      <c r="J833" s="254"/>
      <c r="K833" s="255"/>
      <c r="L833" s="256"/>
      <c r="M833" s="257"/>
      <c r="N833" s="258"/>
      <c r="O833" s="259"/>
      <c r="P833" s="260"/>
      <c r="Q833" s="260"/>
      <c r="R833" s="260"/>
    </row>
    <row r="834" ht="15.75" customHeight="1">
      <c r="E834" s="251"/>
      <c r="H834" s="252"/>
      <c r="I834" s="253"/>
      <c r="J834" s="254"/>
      <c r="K834" s="255"/>
      <c r="L834" s="256"/>
      <c r="M834" s="257"/>
      <c r="N834" s="258"/>
      <c r="O834" s="259"/>
      <c r="P834" s="260"/>
      <c r="Q834" s="260"/>
      <c r="R834" s="260"/>
    </row>
    <row r="835" ht="15.75" customHeight="1">
      <c r="E835" s="251"/>
      <c r="H835" s="252"/>
      <c r="I835" s="253"/>
      <c r="J835" s="254"/>
      <c r="K835" s="255"/>
      <c r="L835" s="256"/>
      <c r="M835" s="257"/>
      <c r="N835" s="258"/>
      <c r="O835" s="259"/>
      <c r="P835" s="260"/>
      <c r="Q835" s="260"/>
      <c r="R835" s="260"/>
    </row>
    <row r="836" ht="15.75" customHeight="1">
      <c r="E836" s="251"/>
      <c r="H836" s="252"/>
      <c r="I836" s="253"/>
      <c r="J836" s="254"/>
      <c r="K836" s="255"/>
      <c r="L836" s="256"/>
      <c r="M836" s="257"/>
      <c r="N836" s="258"/>
      <c r="O836" s="259"/>
      <c r="P836" s="260"/>
      <c r="Q836" s="260"/>
      <c r="R836" s="260"/>
    </row>
    <row r="837" ht="15.75" customHeight="1">
      <c r="E837" s="251"/>
      <c r="H837" s="252"/>
      <c r="I837" s="253"/>
      <c r="J837" s="254"/>
      <c r="K837" s="255"/>
      <c r="L837" s="256"/>
      <c r="M837" s="257"/>
      <c r="N837" s="258"/>
      <c r="O837" s="259"/>
      <c r="P837" s="260"/>
      <c r="Q837" s="260"/>
      <c r="R837" s="260"/>
    </row>
    <row r="838" ht="15.75" customHeight="1">
      <c r="E838" s="251"/>
      <c r="H838" s="252"/>
      <c r="I838" s="253"/>
      <c r="J838" s="254"/>
      <c r="K838" s="255"/>
      <c r="L838" s="256"/>
      <c r="M838" s="257"/>
      <c r="N838" s="258"/>
      <c r="O838" s="259"/>
      <c r="P838" s="260"/>
      <c r="Q838" s="260"/>
      <c r="R838" s="260"/>
    </row>
    <row r="839" ht="15.75" customHeight="1">
      <c r="E839" s="251"/>
      <c r="H839" s="252"/>
      <c r="I839" s="253"/>
      <c r="J839" s="254"/>
      <c r="K839" s="255"/>
      <c r="L839" s="256"/>
      <c r="M839" s="257"/>
      <c r="N839" s="258"/>
      <c r="O839" s="259"/>
      <c r="P839" s="260"/>
      <c r="Q839" s="260"/>
      <c r="R839" s="260"/>
    </row>
    <row r="840" ht="15.75" customHeight="1">
      <c r="E840" s="251"/>
      <c r="H840" s="252"/>
      <c r="I840" s="253"/>
      <c r="J840" s="254"/>
      <c r="K840" s="255"/>
      <c r="L840" s="256"/>
      <c r="M840" s="257"/>
      <c r="N840" s="258"/>
      <c r="O840" s="259"/>
      <c r="P840" s="260"/>
      <c r="Q840" s="260"/>
      <c r="R840" s="260"/>
    </row>
    <row r="841" ht="15.75" customHeight="1">
      <c r="E841" s="251"/>
      <c r="H841" s="252"/>
      <c r="I841" s="253"/>
      <c r="J841" s="254"/>
      <c r="K841" s="255"/>
      <c r="L841" s="256"/>
      <c r="M841" s="257"/>
      <c r="N841" s="258"/>
      <c r="O841" s="259"/>
      <c r="P841" s="260"/>
      <c r="Q841" s="260"/>
      <c r="R841" s="260"/>
    </row>
    <row r="842" ht="15.75" customHeight="1">
      <c r="E842" s="251"/>
      <c r="H842" s="252"/>
      <c r="I842" s="253"/>
      <c r="J842" s="254"/>
      <c r="K842" s="255"/>
      <c r="L842" s="256"/>
      <c r="M842" s="257"/>
      <c r="N842" s="258"/>
      <c r="O842" s="259"/>
      <c r="P842" s="260"/>
      <c r="Q842" s="260"/>
      <c r="R842" s="260"/>
    </row>
    <row r="843" ht="15.75" customHeight="1">
      <c r="E843" s="251"/>
      <c r="H843" s="252"/>
      <c r="I843" s="253"/>
      <c r="J843" s="254"/>
      <c r="K843" s="255"/>
      <c r="L843" s="256"/>
      <c r="M843" s="257"/>
      <c r="N843" s="258"/>
      <c r="O843" s="259"/>
      <c r="P843" s="260"/>
      <c r="Q843" s="260"/>
      <c r="R843" s="260"/>
    </row>
    <row r="844" ht="15.75" customHeight="1">
      <c r="E844" s="251"/>
      <c r="H844" s="252"/>
      <c r="I844" s="253"/>
      <c r="J844" s="254"/>
      <c r="K844" s="255"/>
      <c r="L844" s="256"/>
      <c r="M844" s="257"/>
      <c r="N844" s="258"/>
      <c r="O844" s="259"/>
      <c r="P844" s="260"/>
      <c r="Q844" s="260"/>
      <c r="R844" s="260"/>
    </row>
    <row r="845" ht="15.75" customHeight="1">
      <c r="E845" s="251"/>
      <c r="H845" s="252"/>
      <c r="I845" s="253"/>
      <c r="J845" s="254"/>
      <c r="K845" s="255"/>
      <c r="L845" s="256"/>
      <c r="M845" s="257"/>
      <c r="N845" s="258"/>
      <c r="O845" s="259"/>
      <c r="P845" s="260"/>
      <c r="Q845" s="260"/>
      <c r="R845" s="260"/>
    </row>
    <row r="846" ht="15.75" customHeight="1">
      <c r="E846" s="251"/>
      <c r="H846" s="252"/>
      <c r="I846" s="253"/>
      <c r="J846" s="254"/>
      <c r="K846" s="255"/>
      <c r="L846" s="256"/>
      <c r="M846" s="257"/>
      <c r="N846" s="258"/>
      <c r="O846" s="259"/>
      <c r="P846" s="260"/>
      <c r="Q846" s="260"/>
      <c r="R846" s="260"/>
    </row>
    <row r="847" ht="15.75" customHeight="1">
      <c r="E847" s="251"/>
      <c r="H847" s="252"/>
      <c r="I847" s="253"/>
      <c r="J847" s="254"/>
      <c r="K847" s="255"/>
      <c r="L847" s="256"/>
      <c r="M847" s="257"/>
      <c r="N847" s="258"/>
      <c r="O847" s="259"/>
      <c r="P847" s="260"/>
      <c r="Q847" s="260"/>
      <c r="R847" s="260"/>
    </row>
    <row r="848" ht="15.75" customHeight="1">
      <c r="E848" s="251"/>
      <c r="H848" s="252"/>
      <c r="I848" s="253"/>
      <c r="J848" s="254"/>
      <c r="K848" s="255"/>
      <c r="L848" s="256"/>
      <c r="M848" s="257"/>
      <c r="N848" s="258"/>
      <c r="O848" s="259"/>
      <c r="P848" s="260"/>
      <c r="Q848" s="260"/>
      <c r="R848" s="260"/>
    </row>
    <row r="849" ht="15.75" customHeight="1">
      <c r="E849" s="251"/>
      <c r="H849" s="252"/>
      <c r="I849" s="253"/>
      <c r="J849" s="254"/>
      <c r="K849" s="255"/>
      <c r="L849" s="256"/>
      <c r="M849" s="257"/>
      <c r="N849" s="258"/>
      <c r="O849" s="259"/>
      <c r="P849" s="260"/>
      <c r="Q849" s="260"/>
      <c r="R849" s="260"/>
    </row>
    <row r="850" ht="15.75" customHeight="1">
      <c r="E850" s="251"/>
      <c r="H850" s="252"/>
      <c r="I850" s="253"/>
      <c r="J850" s="254"/>
      <c r="K850" s="255"/>
      <c r="L850" s="256"/>
      <c r="M850" s="257"/>
      <c r="N850" s="258"/>
      <c r="O850" s="259"/>
      <c r="P850" s="260"/>
      <c r="Q850" s="260"/>
      <c r="R850" s="260"/>
    </row>
    <row r="851" ht="15.75" customHeight="1">
      <c r="E851" s="251"/>
      <c r="H851" s="252"/>
      <c r="I851" s="253"/>
      <c r="J851" s="254"/>
      <c r="K851" s="255"/>
      <c r="L851" s="256"/>
      <c r="M851" s="257"/>
      <c r="N851" s="258"/>
      <c r="O851" s="259"/>
      <c r="P851" s="260"/>
      <c r="Q851" s="260"/>
      <c r="R851" s="260"/>
    </row>
    <row r="852" ht="15.75" customHeight="1">
      <c r="E852" s="251"/>
      <c r="H852" s="252"/>
      <c r="I852" s="253"/>
      <c r="J852" s="254"/>
      <c r="K852" s="255"/>
      <c r="L852" s="256"/>
      <c r="M852" s="257"/>
      <c r="N852" s="258"/>
      <c r="O852" s="259"/>
      <c r="P852" s="260"/>
      <c r="Q852" s="260"/>
      <c r="R852" s="260"/>
    </row>
    <row r="853" ht="15.75" customHeight="1">
      <c r="E853" s="251"/>
      <c r="H853" s="252"/>
      <c r="I853" s="253"/>
      <c r="J853" s="254"/>
      <c r="K853" s="255"/>
      <c r="L853" s="256"/>
      <c r="M853" s="257"/>
      <c r="N853" s="258"/>
      <c r="O853" s="259"/>
      <c r="P853" s="260"/>
      <c r="Q853" s="260"/>
      <c r="R853" s="260"/>
    </row>
    <row r="854" ht="15.75" customHeight="1">
      <c r="E854" s="251"/>
      <c r="H854" s="252"/>
      <c r="I854" s="253"/>
      <c r="J854" s="254"/>
      <c r="K854" s="255"/>
      <c r="L854" s="256"/>
      <c r="M854" s="257"/>
      <c r="N854" s="258"/>
      <c r="O854" s="259"/>
      <c r="P854" s="260"/>
      <c r="Q854" s="260"/>
      <c r="R854" s="260"/>
    </row>
    <row r="855" ht="15.75" customHeight="1">
      <c r="E855" s="251"/>
      <c r="H855" s="252"/>
      <c r="I855" s="253"/>
      <c r="J855" s="254"/>
      <c r="K855" s="255"/>
      <c r="L855" s="256"/>
      <c r="M855" s="257"/>
      <c r="N855" s="258"/>
      <c r="O855" s="259"/>
      <c r="P855" s="260"/>
      <c r="Q855" s="260"/>
      <c r="R855" s="260"/>
    </row>
    <row r="856" ht="15.75" customHeight="1">
      <c r="E856" s="251"/>
      <c r="H856" s="252"/>
      <c r="I856" s="253"/>
      <c r="J856" s="254"/>
      <c r="K856" s="255"/>
      <c r="L856" s="256"/>
      <c r="M856" s="257"/>
      <c r="N856" s="258"/>
      <c r="O856" s="259"/>
      <c r="P856" s="260"/>
      <c r="Q856" s="260"/>
      <c r="R856" s="260"/>
    </row>
    <row r="857" ht="15.75" customHeight="1">
      <c r="E857" s="251"/>
      <c r="H857" s="252"/>
      <c r="I857" s="253"/>
      <c r="J857" s="254"/>
      <c r="K857" s="255"/>
      <c r="L857" s="256"/>
      <c r="M857" s="257"/>
      <c r="N857" s="258"/>
      <c r="O857" s="259"/>
      <c r="P857" s="260"/>
      <c r="Q857" s="260"/>
      <c r="R857" s="260"/>
    </row>
    <row r="858" ht="15.75" customHeight="1">
      <c r="E858" s="251"/>
      <c r="H858" s="252"/>
      <c r="I858" s="253"/>
      <c r="J858" s="254"/>
      <c r="K858" s="255"/>
      <c r="L858" s="256"/>
      <c r="M858" s="257"/>
      <c r="N858" s="258"/>
      <c r="O858" s="259"/>
      <c r="P858" s="260"/>
      <c r="Q858" s="260"/>
      <c r="R858" s="260"/>
    </row>
    <row r="859" ht="15.75" customHeight="1">
      <c r="E859" s="251"/>
      <c r="H859" s="252"/>
      <c r="I859" s="253"/>
      <c r="J859" s="254"/>
      <c r="K859" s="255"/>
      <c r="L859" s="256"/>
      <c r="M859" s="257"/>
      <c r="N859" s="258"/>
      <c r="O859" s="259"/>
      <c r="P859" s="260"/>
      <c r="Q859" s="260"/>
      <c r="R859" s="260"/>
    </row>
    <row r="860" ht="15.75" customHeight="1">
      <c r="E860" s="251"/>
      <c r="H860" s="252"/>
      <c r="I860" s="253"/>
      <c r="J860" s="254"/>
      <c r="K860" s="255"/>
      <c r="L860" s="256"/>
      <c r="M860" s="257"/>
      <c r="N860" s="258"/>
      <c r="O860" s="259"/>
      <c r="P860" s="260"/>
      <c r="Q860" s="260"/>
      <c r="R860" s="260"/>
    </row>
    <row r="861" ht="15.75" customHeight="1">
      <c r="E861" s="251"/>
      <c r="H861" s="252"/>
      <c r="I861" s="253"/>
      <c r="J861" s="254"/>
      <c r="K861" s="255"/>
      <c r="L861" s="256"/>
      <c r="M861" s="257"/>
      <c r="N861" s="258"/>
      <c r="O861" s="259"/>
      <c r="P861" s="260"/>
      <c r="Q861" s="260"/>
      <c r="R861" s="260"/>
    </row>
    <row r="862" ht="15.75" customHeight="1">
      <c r="E862" s="251"/>
      <c r="H862" s="252"/>
      <c r="I862" s="253"/>
      <c r="J862" s="254"/>
      <c r="K862" s="255"/>
      <c r="L862" s="256"/>
      <c r="M862" s="257"/>
      <c r="N862" s="258"/>
      <c r="O862" s="259"/>
      <c r="P862" s="260"/>
      <c r="Q862" s="260"/>
      <c r="R862" s="260"/>
    </row>
    <row r="863" ht="15.75" customHeight="1">
      <c r="E863" s="251"/>
      <c r="H863" s="252"/>
      <c r="I863" s="253"/>
      <c r="J863" s="254"/>
      <c r="K863" s="255"/>
      <c r="L863" s="256"/>
      <c r="M863" s="257"/>
      <c r="N863" s="258"/>
      <c r="O863" s="259"/>
      <c r="P863" s="260"/>
      <c r="Q863" s="260"/>
      <c r="R863" s="260"/>
    </row>
    <row r="864" ht="15.75" customHeight="1">
      <c r="E864" s="251"/>
      <c r="H864" s="252"/>
      <c r="I864" s="253"/>
      <c r="J864" s="254"/>
      <c r="K864" s="255"/>
      <c r="L864" s="256"/>
      <c r="M864" s="257"/>
      <c r="N864" s="258"/>
      <c r="O864" s="259"/>
      <c r="P864" s="260"/>
      <c r="Q864" s="260"/>
      <c r="R864" s="260"/>
    </row>
    <row r="865" ht="15.75" customHeight="1">
      <c r="E865" s="251"/>
      <c r="H865" s="252"/>
      <c r="I865" s="253"/>
      <c r="J865" s="254"/>
      <c r="K865" s="255"/>
      <c r="L865" s="256"/>
      <c r="M865" s="257"/>
      <c r="N865" s="258"/>
      <c r="O865" s="259"/>
      <c r="P865" s="260"/>
      <c r="Q865" s="260"/>
      <c r="R865" s="260"/>
    </row>
    <row r="866" ht="15.75" customHeight="1">
      <c r="E866" s="251"/>
      <c r="H866" s="252"/>
      <c r="I866" s="253"/>
      <c r="J866" s="254"/>
      <c r="K866" s="255"/>
      <c r="L866" s="256"/>
      <c r="M866" s="257"/>
      <c r="N866" s="258"/>
      <c r="O866" s="259"/>
      <c r="P866" s="260"/>
      <c r="Q866" s="260"/>
      <c r="R866" s="260"/>
    </row>
    <row r="867" ht="15.75" customHeight="1">
      <c r="E867" s="251"/>
      <c r="H867" s="252"/>
      <c r="I867" s="253"/>
      <c r="J867" s="254"/>
      <c r="K867" s="255"/>
      <c r="L867" s="256"/>
      <c r="M867" s="257"/>
      <c r="N867" s="258"/>
      <c r="O867" s="259"/>
      <c r="P867" s="260"/>
      <c r="Q867" s="260"/>
      <c r="R867" s="260"/>
    </row>
    <row r="868" ht="15.75" customHeight="1">
      <c r="E868" s="251"/>
      <c r="H868" s="252"/>
      <c r="I868" s="253"/>
      <c r="J868" s="254"/>
      <c r="K868" s="255"/>
      <c r="L868" s="256"/>
      <c r="M868" s="257"/>
      <c r="N868" s="258"/>
      <c r="O868" s="259"/>
      <c r="P868" s="260"/>
      <c r="Q868" s="260"/>
      <c r="R868" s="260"/>
    </row>
    <row r="869" ht="15.75" customHeight="1">
      <c r="E869" s="251"/>
      <c r="H869" s="252"/>
      <c r="I869" s="253"/>
      <c r="J869" s="254"/>
      <c r="K869" s="255"/>
      <c r="L869" s="256"/>
      <c r="M869" s="257"/>
      <c r="N869" s="258"/>
      <c r="O869" s="259"/>
      <c r="P869" s="260"/>
      <c r="Q869" s="260"/>
      <c r="R869" s="260"/>
    </row>
    <row r="870" ht="15.75" customHeight="1">
      <c r="E870" s="251"/>
      <c r="H870" s="252"/>
      <c r="I870" s="253"/>
      <c r="J870" s="254"/>
      <c r="K870" s="255"/>
      <c r="L870" s="256"/>
      <c r="M870" s="257"/>
      <c r="N870" s="258"/>
      <c r="O870" s="259"/>
      <c r="P870" s="260"/>
      <c r="Q870" s="260"/>
      <c r="R870" s="260"/>
    </row>
    <row r="871" ht="15.75" customHeight="1">
      <c r="E871" s="251"/>
      <c r="H871" s="252"/>
      <c r="I871" s="253"/>
      <c r="J871" s="254"/>
      <c r="K871" s="255"/>
      <c r="L871" s="256"/>
      <c r="M871" s="257"/>
      <c r="N871" s="258"/>
      <c r="O871" s="259"/>
      <c r="P871" s="260"/>
      <c r="Q871" s="260"/>
      <c r="R871" s="260"/>
    </row>
    <row r="872" ht="15.75" customHeight="1">
      <c r="E872" s="251"/>
      <c r="H872" s="252"/>
      <c r="I872" s="253"/>
      <c r="J872" s="254"/>
      <c r="K872" s="255"/>
      <c r="L872" s="256"/>
      <c r="M872" s="257"/>
      <c r="N872" s="258"/>
      <c r="O872" s="259"/>
      <c r="P872" s="260"/>
      <c r="Q872" s="260"/>
      <c r="R872" s="260"/>
    </row>
    <row r="873" ht="15.75" customHeight="1">
      <c r="E873" s="251"/>
      <c r="H873" s="252"/>
      <c r="I873" s="253"/>
      <c r="J873" s="254"/>
      <c r="K873" s="255"/>
      <c r="L873" s="256"/>
      <c r="M873" s="257"/>
      <c r="N873" s="258"/>
      <c r="O873" s="259"/>
      <c r="P873" s="260"/>
      <c r="Q873" s="260"/>
      <c r="R873" s="260"/>
    </row>
    <row r="874" ht="15.75" customHeight="1">
      <c r="E874" s="251"/>
      <c r="H874" s="252"/>
      <c r="I874" s="253"/>
      <c r="J874" s="254"/>
      <c r="K874" s="255"/>
      <c r="L874" s="256"/>
      <c r="M874" s="257"/>
      <c r="N874" s="258"/>
      <c r="O874" s="259"/>
      <c r="P874" s="260"/>
      <c r="Q874" s="260"/>
      <c r="R874" s="260"/>
    </row>
    <row r="875" ht="15.75" customHeight="1">
      <c r="E875" s="251"/>
      <c r="H875" s="252"/>
      <c r="I875" s="253"/>
      <c r="J875" s="254"/>
      <c r="K875" s="255"/>
      <c r="L875" s="256"/>
      <c r="M875" s="257"/>
      <c r="N875" s="258"/>
      <c r="O875" s="259"/>
      <c r="P875" s="260"/>
      <c r="Q875" s="260"/>
      <c r="R875" s="260"/>
    </row>
    <row r="876" ht="15.75" customHeight="1">
      <c r="E876" s="251"/>
      <c r="H876" s="252"/>
      <c r="I876" s="253"/>
      <c r="J876" s="254"/>
      <c r="K876" s="255"/>
      <c r="L876" s="256"/>
      <c r="M876" s="257"/>
      <c r="N876" s="258"/>
      <c r="O876" s="259"/>
      <c r="P876" s="260"/>
      <c r="Q876" s="260"/>
      <c r="R876" s="260"/>
    </row>
    <row r="877" ht="15.75" customHeight="1">
      <c r="E877" s="251"/>
      <c r="H877" s="252"/>
      <c r="I877" s="253"/>
      <c r="J877" s="254"/>
      <c r="K877" s="255"/>
      <c r="L877" s="256"/>
      <c r="M877" s="257"/>
      <c r="N877" s="258"/>
      <c r="O877" s="259"/>
      <c r="P877" s="260"/>
      <c r="Q877" s="260"/>
      <c r="R877" s="260"/>
    </row>
    <row r="878" ht="15.75" customHeight="1">
      <c r="E878" s="251"/>
      <c r="H878" s="252"/>
      <c r="I878" s="253"/>
      <c r="J878" s="254"/>
      <c r="K878" s="255"/>
      <c r="L878" s="256"/>
      <c r="M878" s="257"/>
      <c r="N878" s="258"/>
      <c r="O878" s="259"/>
      <c r="P878" s="260"/>
      <c r="Q878" s="260"/>
      <c r="R878" s="260"/>
    </row>
    <row r="879" ht="15.75" customHeight="1">
      <c r="E879" s="251"/>
      <c r="H879" s="252"/>
      <c r="I879" s="253"/>
      <c r="J879" s="254"/>
      <c r="K879" s="255"/>
      <c r="L879" s="256"/>
      <c r="M879" s="257"/>
      <c r="N879" s="258"/>
      <c r="O879" s="259"/>
      <c r="P879" s="260"/>
      <c r="Q879" s="260"/>
      <c r="R879" s="260"/>
    </row>
    <row r="880" ht="15.75" customHeight="1">
      <c r="E880" s="251"/>
      <c r="H880" s="252"/>
      <c r="I880" s="253"/>
      <c r="J880" s="254"/>
      <c r="K880" s="255"/>
      <c r="L880" s="256"/>
      <c r="M880" s="257"/>
      <c r="N880" s="258"/>
      <c r="O880" s="259"/>
      <c r="P880" s="260"/>
      <c r="Q880" s="260"/>
      <c r="R880" s="260"/>
    </row>
    <row r="881" ht="15.75" customHeight="1">
      <c r="E881" s="251"/>
      <c r="H881" s="252"/>
      <c r="I881" s="253"/>
      <c r="J881" s="254"/>
      <c r="K881" s="255"/>
      <c r="L881" s="256"/>
      <c r="M881" s="257"/>
      <c r="N881" s="258"/>
      <c r="O881" s="259"/>
      <c r="P881" s="260"/>
      <c r="Q881" s="260"/>
      <c r="R881" s="260"/>
    </row>
    <row r="882" ht="15.75" customHeight="1">
      <c r="E882" s="251"/>
      <c r="H882" s="252"/>
      <c r="I882" s="253"/>
      <c r="J882" s="254"/>
      <c r="K882" s="255"/>
      <c r="L882" s="256"/>
      <c r="M882" s="257"/>
      <c r="N882" s="258"/>
      <c r="O882" s="259"/>
      <c r="P882" s="260"/>
      <c r="Q882" s="260"/>
      <c r="R882" s="260"/>
    </row>
    <row r="883" ht="15.75" customHeight="1">
      <c r="E883" s="251"/>
      <c r="H883" s="252"/>
      <c r="I883" s="253"/>
      <c r="J883" s="254"/>
      <c r="K883" s="255"/>
      <c r="L883" s="256"/>
      <c r="M883" s="257"/>
      <c r="N883" s="258"/>
      <c r="O883" s="259"/>
      <c r="P883" s="260"/>
      <c r="Q883" s="260"/>
      <c r="R883" s="260"/>
    </row>
    <row r="884" ht="15.75" customHeight="1">
      <c r="E884" s="251"/>
      <c r="H884" s="252"/>
      <c r="I884" s="253"/>
      <c r="J884" s="254"/>
      <c r="K884" s="255"/>
      <c r="L884" s="256"/>
      <c r="M884" s="257"/>
      <c r="N884" s="258"/>
      <c r="O884" s="259"/>
      <c r="P884" s="260"/>
      <c r="Q884" s="260"/>
      <c r="R884" s="260"/>
    </row>
    <row r="885" ht="15.75" customHeight="1">
      <c r="E885" s="251"/>
      <c r="H885" s="252"/>
      <c r="I885" s="253"/>
      <c r="J885" s="254"/>
      <c r="K885" s="255"/>
      <c r="L885" s="256"/>
      <c r="M885" s="257"/>
      <c r="N885" s="258"/>
      <c r="O885" s="259"/>
      <c r="P885" s="260"/>
      <c r="Q885" s="260"/>
      <c r="R885" s="260"/>
    </row>
    <row r="886" ht="15.75" customHeight="1">
      <c r="E886" s="251"/>
      <c r="H886" s="252"/>
      <c r="I886" s="253"/>
      <c r="J886" s="254"/>
      <c r="K886" s="255"/>
      <c r="L886" s="256"/>
      <c r="M886" s="257"/>
      <c r="N886" s="258"/>
      <c r="O886" s="259"/>
      <c r="P886" s="260"/>
      <c r="Q886" s="260"/>
      <c r="R886" s="260"/>
    </row>
    <row r="887" ht="15.75" customHeight="1">
      <c r="E887" s="251"/>
      <c r="H887" s="252"/>
      <c r="I887" s="253"/>
      <c r="J887" s="254"/>
      <c r="K887" s="255"/>
      <c r="L887" s="256"/>
      <c r="M887" s="257"/>
      <c r="N887" s="258"/>
      <c r="O887" s="259"/>
      <c r="P887" s="260"/>
      <c r="Q887" s="260"/>
      <c r="R887" s="260"/>
    </row>
    <row r="888" ht="15.75" customHeight="1">
      <c r="E888" s="251"/>
      <c r="H888" s="252"/>
      <c r="I888" s="253"/>
      <c r="J888" s="254"/>
      <c r="K888" s="255"/>
      <c r="L888" s="256"/>
      <c r="M888" s="257"/>
      <c r="N888" s="258"/>
      <c r="O888" s="259"/>
      <c r="P888" s="260"/>
      <c r="Q888" s="260"/>
      <c r="R888" s="260"/>
    </row>
    <row r="889" ht="15.75" customHeight="1">
      <c r="E889" s="251"/>
      <c r="H889" s="252"/>
      <c r="I889" s="253"/>
      <c r="J889" s="254"/>
      <c r="K889" s="255"/>
      <c r="L889" s="256"/>
      <c r="M889" s="257"/>
      <c r="N889" s="258"/>
      <c r="O889" s="259"/>
      <c r="P889" s="260"/>
      <c r="Q889" s="260"/>
      <c r="R889" s="260"/>
    </row>
    <row r="890" ht="15.75" customHeight="1">
      <c r="E890" s="251"/>
      <c r="H890" s="252"/>
      <c r="I890" s="253"/>
      <c r="J890" s="254"/>
      <c r="K890" s="255"/>
      <c r="L890" s="256"/>
      <c r="M890" s="257"/>
      <c r="N890" s="258"/>
      <c r="O890" s="259"/>
      <c r="P890" s="260"/>
      <c r="Q890" s="260"/>
      <c r="R890" s="260"/>
    </row>
    <row r="891" ht="15.75" customHeight="1">
      <c r="E891" s="251"/>
      <c r="H891" s="252"/>
      <c r="I891" s="253"/>
      <c r="J891" s="254"/>
      <c r="K891" s="255"/>
      <c r="L891" s="256"/>
      <c r="M891" s="257"/>
      <c r="N891" s="258"/>
      <c r="O891" s="259"/>
      <c r="P891" s="260"/>
      <c r="Q891" s="260"/>
      <c r="R891" s="260"/>
    </row>
    <row r="892" ht="15.75" customHeight="1">
      <c r="E892" s="251"/>
      <c r="H892" s="252"/>
      <c r="I892" s="253"/>
      <c r="J892" s="254"/>
      <c r="K892" s="255"/>
      <c r="L892" s="256"/>
      <c r="M892" s="257"/>
      <c r="N892" s="258"/>
      <c r="O892" s="259"/>
      <c r="P892" s="260"/>
      <c r="Q892" s="260"/>
      <c r="R892" s="260"/>
    </row>
    <row r="893" ht="15.75" customHeight="1">
      <c r="E893" s="251"/>
      <c r="H893" s="252"/>
      <c r="I893" s="253"/>
      <c r="J893" s="254"/>
      <c r="K893" s="255"/>
      <c r="L893" s="256"/>
      <c r="M893" s="257"/>
      <c r="N893" s="258"/>
      <c r="O893" s="259"/>
      <c r="P893" s="260"/>
      <c r="Q893" s="260"/>
      <c r="R893" s="260"/>
    </row>
    <row r="894" ht="15.75" customHeight="1">
      <c r="E894" s="251"/>
      <c r="H894" s="252"/>
      <c r="I894" s="253"/>
      <c r="J894" s="254"/>
      <c r="K894" s="255"/>
      <c r="L894" s="256"/>
      <c r="M894" s="257"/>
      <c r="N894" s="258"/>
      <c r="O894" s="259"/>
      <c r="P894" s="260"/>
      <c r="Q894" s="260"/>
      <c r="R894" s="260"/>
    </row>
    <row r="895" ht="15.75" customHeight="1">
      <c r="E895" s="251"/>
      <c r="H895" s="252"/>
      <c r="I895" s="253"/>
      <c r="J895" s="254"/>
      <c r="K895" s="255"/>
      <c r="L895" s="256"/>
      <c r="M895" s="257"/>
      <c r="N895" s="258"/>
      <c r="O895" s="259"/>
      <c r="P895" s="260"/>
      <c r="Q895" s="260"/>
      <c r="R895" s="260"/>
    </row>
    <row r="896" ht="15.75" customHeight="1">
      <c r="E896" s="251"/>
      <c r="H896" s="252"/>
      <c r="I896" s="253"/>
      <c r="J896" s="254"/>
      <c r="K896" s="255"/>
      <c r="L896" s="256"/>
      <c r="M896" s="257"/>
      <c r="N896" s="258"/>
      <c r="O896" s="259"/>
      <c r="P896" s="260"/>
      <c r="Q896" s="260"/>
      <c r="R896" s="260"/>
    </row>
    <row r="897" ht="15.75" customHeight="1">
      <c r="E897" s="251"/>
      <c r="H897" s="252"/>
      <c r="I897" s="253"/>
      <c r="J897" s="254"/>
      <c r="K897" s="255"/>
      <c r="L897" s="256"/>
      <c r="M897" s="257"/>
      <c r="N897" s="258"/>
      <c r="O897" s="259"/>
      <c r="P897" s="260"/>
      <c r="Q897" s="260"/>
      <c r="R897" s="260"/>
    </row>
    <row r="898" ht="15.75" customHeight="1">
      <c r="E898" s="251"/>
      <c r="H898" s="252"/>
      <c r="I898" s="253"/>
      <c r="J898" s="254"/>
      <c r="K898" s="255"/>
      <c r="L898" s="256"/>
      <c r="M898" s="257"/>
      <c r="N898" s="258"/>
      <c r="O898" s="259"/>
      <c r="P898" s="260"/>
      <c r="Q898" s="260"/>
      <c r="R898" s="260"/>
    </row>
    <row r="899" ht="15.75" customHeight="1">
      <c r="E899" s="251"/>
      <c r="H899" s="252"/>
      <c r="I899" s="253"/>
      <c r="J899" s="254"/>
      <c r="K899" s="255"/>
      <c r="L899" s="256"/>
      <c r="M899" s="257"/>
      <c r="N899" s="258"/>
      <c r="O899" s="259"/>
      <c r="P899" s="260"/>
      <c r="Q899" s="260"/>
      <c r="R899" s="260"/>
    </row>
    <row r="900" ht="15.75" customHeight="1">
      <c r="E900" s="251"/>
      <c r="H900" s="252"/>
      <c r="I900" s="253"/>
      <c r="J900" s="254"/>
      <c r="K900" s="255"/>
      <c r="L900" s="256"/>
      <c r="M900" s="257"/>
      <c r="N900" s="258"/>
      <c r="O900" s="259"/>
      <c r="P900" s="260"/>
      <c r="Q900" s="260"/>
      <c r="R900" s="260"/>
    </row>
    <row r="901" ht="15.75" customHeight="1">
      <c r="E901" s="251"/>
      <c r="H901" s="252"/>
      <c r="I901" s="253"/>
      <c r="J901" s="254"/>
      <c r="K901" s="255"/>
      <c r="L901" s="256"/>
      <c r="M901" s="257"/>
      <c r="N901" s="258"/>
      <c r="O901" s="259"/>
      <c r="P901" s="260"/>
      <c r="Q901" s="260"/>
      <c r="R901" s="260"/>
    </row>
    <row r="902" ht="15.75" customHeight="1">
      <c r="E902" s="251"/>
      <c r="H902" s="252"/>
      <c r="I902" s="253"/>
      <c r="J902" s="254"/>
      <c r="K902" s="255"/>
      <c r="L902" s="256"/>
      <c r="M902" s="257"/>
      <c r="N902" s="258"/>
      <c r="O902" s="259"/>
      <c r="P902" s="260"/>
      <c r="Q902" s="260"/>
      <c r="R902" s="260"/>
    </row>
    <row r="903" ht="15.75" customHeight="1">
      <c r="E903" s="251"/>
      <c r="H903" s="252"/>
      <c r="I903" s="253"/>
      <c r="J903" s="254"/>
      <c r="K903" s="255"/>
      <c r="L903" s="256"/>
      <c r="M903" s="257"/>
      <c r="N903" s="258"/>
      <c r="O903" s="259"/>
      <c r="P903" s="260"/>
      <c r="Q903" s="260"/>
      <c r="R903" s="260"/>
    </row>
    <row r="904" ht="15.75" customHeight="1">
      <c r="E904" s="251"/>
      <c r="H904" s="252"/>
      <c r="I904" s="253"/>
      <c r="J904" s="254"/>
      <c r="K904" s="255"/>
      <c r="L904" s="256"/>
      <c r="M904" s="257"/>
      <c r="N904" s="258"/>
      <c r="O904" s="259"/>
      <c r="P904" s="260"/>
      <c r="Q904" s="260"/>
      <c r="R904" s="260"/>
    </row>
    <row r="905" ht="15.75" customHeight="1">
      <c r="E905" s="251"/>
      <c r="H905" s="252"/>
      <c r="I905" s="253"/>
      <c r="J905" s="254"/>
      <c r="K905" s="255"/>
      <c r="L905" s="256"/>
      <c r="M905" s="257"/>
      <c r="N905" s="258"/>
      <c r="O905" s="259"/>
      <c r="P905" s="260"/>
      <c r="Q905" s="260"/>
      <c r="R905" s="260"/>
    </row>
    <row r="906" ht="15.75" customHeight="1">
      <c r="E906" s="251"/>
      <c r="H906" s="252"/>
      <c r="I906" s="253"/>
      <c r="J906" s="254"/>
      <c r="K906" s="255"/>
      <c r="L906" s="256"/>
      <c r="M906" s="257"/>
      <c r="N906" s="258"/>
      <c r="O906" s="259"/>
      <c r="P906" s="260"/>
      <c r="Q906" s="260"/>
      <c r="R906" s="260"/>
    </row>
    <row r="907" ht="15.75" customHeight="1">
      <c r="E907" s="251"/>
      <c r="H907" s="252"/>
      <c r="I907" s="253"/>
      <c r="J907" s="254"/>
      <c r="K907" s="255"/>
      <c r="L907" s="256"/>
      <c r="M907" s="257"/>
      <c r="N907" s="258"/>
      <c r="O907" s="259"/>
      <c r="P907" s="260"/>
      <c r="Q907" s="260"/>
      <c r="R907" s="260"/>
    </row>
    <row r="908" ht="15.75" customHeight="1">
      <c r="E908" s="251"/>
      <c r="H908" s="252"/>
      <c r="I908" s="253"/>
      <c r="J908" s="254"/>
      <c r="K908" s="255"/>
      <c r="L908" s="256"/>
      <c r="M908" s="257"/>
      <c r="N908" s="258"/>
      <c r="O908" s="259"/>
      <c r="P908" s="260"/>
      <c r="Q908" s="260"/>
      <c r="R908" s="260"/>
    </row>
    <row r="909" ht="15.75" customHeight="1">
      <c r="E909" s="251"/>
      <c r="H909" s="252"/>
      <c r="I909" s="253"/>
      <c r="J909" s="254"/>
      <c r="K909" s="255"/>
      <c r="L909" s="256"/>
      <c r="M909" s="257"/>
      <c r="N909" s="258"/>
      <c r="O909" s="259"/>
      <c r="P909" s="260"/>
      <c r="Q909" s="260"/>
      <c r="R909" s="260"/>
    </row>
    <row r="910" ht="15.75" customHeight="1">
      <c r="E910" s="251"/>
      <c r="H910" s="252"/>
      <c r="I910" s="253"/>
      <c r="J910" s="254"/>
      <c r="K910" s="255"/>
      <c r="L910" s="256"/>
      <c r="M910" s="257"/>
      <c r="N910" s="258"/>
      <c r="O910" s="259"/>
      <c r="P910" s="260"/>
      <c r="Q910" s="260"/>
      <c r="R910" s="260"/>
    </row>
    <row r="911" ht="15.75" customHeight="1">
      <c r="E911" s="251"/>
      <c r="H911" s="252"/>
      <c r="I911" s="253"/>
      <c r="J911" s="254"/>
      <c r="K911" s="255"/>
      <c r="L911" s="256"/>
      <c r="M911" s="257"/>
      <c r="N911" s="258"/>
      <c r="O911" s="259"/>
      <c r="P911" s="260"/>
      <c r="Q911" s="260"/>
      <c r="R911" s="260"/>
    </row>
    <row r="912" ht="15.75" customHeight="1">
      <c r="E912" s="251"/>
      <c r="H912" s="252"/>
      <c r="I912" s="253"/>
      <c r="J912" s="254"/>
      <c r="K912" s="255"/>
      <c r="L912" s="256"/>
      <c r="M912" s="257"/>
      <c r="N912" s="258"/>
      <c r="O912" s="259"/>
      <c r="P912" s="260"/>
      <c r="Q912" s="260"/>
      <c r="R912" s="260"/>
    </row>
    <row r="913" ht="15.75" customHeight="1">
      <c r="E913" s="251"/>
      <c r="H913" s="252"/>
      <c r="I913" s="253"/>
      <c r="J913" s="254"/>
      <c r="K913" s="255"/>
      <c r="L913" s="256"/>
      <c r="M913" s="257"/>
      <c r="N913" s="258"/>
      <c r="O913" s="259"/>
      <c r="P913" s="260"/>
      <c r="Q913" s="260"/>
      <c r="R913" s="260"/>
    </row>
    <row r="914" ht="15.75" customHeight="1">
      <c r="E914" s="251"/>
      <c r="H914" s="252"/>
      <c r="I914" s="253"/>
      <c r="J914" s="254"/>
      <c r="K914" s="255"/>
      <c r="L914" s="256"/>
      <c r="M914" s="257"/>
      <c r="N914" s="258"/>
      <c r="O914" s="259"/>
      <c r="P914" s="260"/>
      <c r="Q914" s="260"/>
      <c r="R914" s="260"/>
    </row>
    <row r="915" ht="15.75" customHeight="1">
      <c r="E915" s="251"/>
      <c r="H915" s="252"/>
      <c r="I915" s="253"/>
      <c r="J915" s="254"/>
      <c r="K915" s="255"/>
      <c r="L915" s="256"/>
      <c r="M915" s="257"/>
      <c r="N915" s="258"/>
      <c r="O915" s="259"/>
      <c r="P915" s="260"/>
      <c r="Q915" s="260"/>
      <c r="R915" s="260"/>
    </row>
    <row r="916" ht="15.75" customHeight="1">
      <c r="E916" s="251"/>
      <c r="H916" s="252"/>
      <c r="I916" s="253"/>
      <c r="J916" s="254"/>
      <c r="K916" s="255"/>
      <c r="L916" s="256"/>
      <c r="M916" s="257"/>
      <c r="N916" s="258"/>
      <c r="O916" s="259"/>
      <c r="P916" s="260"/>
      <c r="Q916" s="260"/>
      <c r="R916" s="260"/>
    </row>
    <row r="917" ht="15.75" customHeight="1">
      <c r="E917" s="251"/>
      <c r="H917" s="252"/>
      <c r="I917" s="253"/>
      <c r="J917" s="254"/>
      <c r="K917" s="255"/>
      <c r="L917" s="256"/>
      <c r="M917" s="257"/>
      <c r="N917" s="258"/>
      <c r="O917" s="259"/>
      <c r="P917" s="260"/>
      <c r="Q917" s="260"/>
      <c r="R917" s="260"/>
    </row>
    <row r="918" ht="15.75" customHeight="1">
      <c r="E918" s="251"/>
      <c r="H918" s="252"/>
      <c r="I918" s="253"/>
      <c r="J918" s="254"/>
      <c r="K918" s="255"/>
      <c r="L918" s="256"/>
      <c r="M918" s="257"/>
      <c r="N918" s="258"/>
      <c r="O918" s="259"/>
      <c r="P918" s="260"/>
      <c r="Q918" s="260"/>
      <c r="R918" s="260"/>
    </row>
    <row r="919" ht="15.75" customHeight="1">
      <c r="E919" s="251"/>
      <c r="H919" s="252"/>
      <c r="I919" s="253"/>
      <c r="J919" s="254"/>
      <c r="K919" s="255"/>
      <c r="L919" s="256"/>
      <c r="M919" s="257"/>
      <c r="N919" s="258"/>
      <c r="O919" s="259"/>
      <c r="P919" s="260"/>
      <c r="Q919" s="260"/>
      <c r="R919" s="260"/>
    </row>
    <row r="920" ht="15.75" customHeight="1">
      <c r="E920" s="251"/>
      <c r="H920" s="252"/>
      <c r="I920" s="253"/>
      <c r="J920" s="254"/>
      <c r="K920" s="255"/>
      <c r="L920" s="256"/>
      <c r="M920" s="257"/>
      <c r="N920" s="258"/>
      <c r="O920" s="259"/>
      <c r="P920" s="260"/>
      <c r="Q920" s="260"/>
      <c r="R920" s="260"/>
    </row>
    <row r="921" ht="15.75" customHeight="1">
      <c r="E921" s="251"/>
      <c r="H921" s="252"/>
      <c r="I921" s="253"/>
      <c r="J921" s="254"/>
      <c r="K921" s="255"/>
      <c r="L921" s="256"/>
      <c r="M921" s="257"/>
      <c r="N921" s="258"/>
      <c r="O921" s="259"/>
      <c r="P921" s="260"/>
      <c r="Q921" s="260"/>
      <c r="R921" s="260"/>
    </row>
    <row r="922" ht="15.75" customHeight="1">
      <c r="E922" s="251"/>
      <c r="H922" s="252"/>
      <c r="I922" s="253"/>
      <c r="J922" s="254"/>
      <c r="K922" s="255"/>
      <c r="L922" s="256"/>
      <c r="M922" s="257"/>
      <c r="N922" s="258"/>
      <c r="O922" s="259"/>
      <c r="P922" s="260"/>
      <c r="Q922" s="260"/>
      <c r="R922" s="260"/>
    </row>
    <row r="923" ht="15.75" customHeight="1">
      <c r="E923" s="251"/>
      <c r="H923" s="252"/>
      <c r="I923" s="253"/>
      <c r="J923" s="254"/>
      <c r="K923" s="255"/>
      <c r="L923" s="256"/>
      <c r="M923" s="257"/>
      <c r="N923" s="258"/>
      <c r="O923" s="259"/>
      <c r="P923" s="260"/>
      <c r="Q923" s="260"/>
      <c r="R923" s="260"/>
    </row>
    <row r="924" ht="15.75" customHeight="1">
      <c r="E924" s="251"/>
      <c r="H924" s="252"/>
      <c r="I924" s="253"/>
      <c r="J924" s="254"/>
      <c r="K924" s="255"/>
      <c r="L924" s="256"/>
      <c r="M924" s="257"/>
      <c r="N924" s="258"/>
      <c r="O924" s="259"/>
      <c r="P924" s="260"/>
      <c r="Q924" s="260"/>
      <c r="R924" s="260"/>
    </row>
    <row r="925" ht="15.75" customHeight="1">
      <c r="E925" s="251"/>
      <c r="H925" s="252"/>
      <c r="I925" s="253"/>
      <c r="J925" s="254"/>
      <c r="K925" s="255"/>
      <c r="L925" s="256"/>
      <c r="M925" s="257"/>
      <c r="N925" s="258"/>
      <c r="O925" s="259"/>
      <c r="P925" s="260"/>
      <c r="Q925" s="260"/>
      <c r="R925" s="260"/>
    </row>
    <row r="926" ht="15.75" customHeight="1">
      <c r="E926" s="251"/>
      <c r="H926" s="252"/>
      <c r="I926" s="253"/>
      <c r="J926" s="254"/>
      <c r="K926" s="255"/>
      <c r="L926" s="256"/>
      <c r="M926" s="257"/>
      <c r="N926" s="258"/>
      <c r="O926" s="259"/>
      <c r="P926" s="260"/>
      <c r="Q926" s="260"/>
      <c r="R926" s="260"/>
    </row>
    <row r="927" ht="15.75" customHeight="1">
      <c r="E927" s="251"/>
      <c r="H927" s="252"/>
      <c r="I927" s="253"/>
      <c r="J927" s="254"/>
      <c r="K927" s="255"/>
      <c r="L927" s="256"/>
      <c r="M927" s="257"/>
      <c r="N927" s="258"/>
      <c r="O927" s="259"/>
      <c r="P927" s="260"/>
      <c r="Q927" s="260"/>
      <c r="R927" s="260"/>
    </row>
    <row r="928" ht="15.75" customHeight="1">
      <c r="E928" s="251"/>
      <c r="H928" s="252"/>
      <c r="I928" s="253"/>
      <c r="J928" s="254"/>
      <c r="K928" s="255"/>
      <c r="L928" s="256"/>
      <c r="M928" s="257"/>
      <c r="N928" s="258"/>
      <c r="O928" s="259"/>
      <c r="P928" s="260"/>
      <c r="Q928" s="260"/>
      <c r="R928" s="260"/>
    </row>
    <row r="929" ht="15.75" customHeight="1">
      <c r="E929" s="251"/>
      <c r="H929" s="252"/>
      <c r="I929" s="253"/>
      <c r="J929" s="254"/>
      <c r="K929" s="255"/>
      <c r="L929" s="256"/>
      <c r="M929" s="257"/>
      <c r="N929" s="258"/>
      <c r="O929" s="259"/>
      <c r="P929" s="260"/>
      <c r="Q929" s="260"/>
      <c r="R929" s="260"/>
    </row>
    <row r="930" ht="15.75" customHeight="1">
      <c r="E930" s="251"/>
      <c r="H930" s="252"/>
      <c r="I930" s="253"/>
      <c r="J930" s="254"/>
      <c r="K930" s="255"/>
      <c r="L930" s="256"/>
      <c r="M930" s="257"/>
      <c r="N930" s="258"/>
      <c r="O930" s="259"/>
      <c r="P930" s="260"/>
      <c r="Q930" s="260"/>
      <c r="R930" s="260"/>
    </row>
    <row r="931" ht="15.75" customHeight="1">
      <c r="E931" s="251"/>
      <c r="H931" s="252"/>
      <c r="I931" s="253"/>
      <c r="J931" s="254"/>
      <c r="K931" s="255"/>
      <c r="L931" s="256"/>
      <c r="M931" s="257"/>
      <c r="N931" s="258"/>
      <c r="O931" s="259"/>
      <c r="P931" s="260"/>
      <c r="Q931" s="260"/>
      <c r="R931" s="260"/>
    </row>
    <row r="932" ht="15.75" customHeight="1">
      <c r="E932" s="251"/>
      <c r="H932" s="252"/>
      <c r="I932" s="253"/>
      <c r="J932" s="254"/>
      <c r="K932" s="255"/>
      <c r="L932" s="256"/>
      <c r="M932" s="257"/>
      <c r="N932" s="258"/>
      <c r="O932" s="259"/>
      <c r="P932" s="260"/>
      <c r="Q932" s="260"/>
      <c r="R932" s="260"/>
    </row>
    <row r="933" ht="15.75" customHeight="1">
      <c r="E933" s="251"/>
      <c r="H933" s="252"/>
      <c r="I933" s="253"/>
      <c r="J933" s="254"/>
      <c r="K933" s="255"/>
      <c r="L933" s="256"/>
      <c r="M933" s="257"/>
      <c r="N933" s="258"/>
      <c r="O933" s="259"/>
      <c r="P933" s="260"/>
      <c r="Q933" s="260"/>
      <c r="R933" s="260"/>
    </row>
    <row r="934" ht="15.75" customHeight="1">
      <c r="E934" s="251"/>
      <c r="H934" s="252"/>
      <c r="I934" s="253"/>
      <c r="J934" s="254"/>
      <c r="K934" s="255"/>
      <c r="L934" s="256"/>
      <c r="M934" s="257"/>
      <c r="N934" s="258"/>
      <c r="O934" s="259"/>
      <c r="P934" s="260"/>
      <c r="Q934" s="260"/>
      <c r="R934" s="260"/>
    </row>
    <row r="935" ht="15.75" customHeight="1">
      <c r="E935" s="251"/>
      <c r="H935" s="252"/>
      <c r="I935" s="253"/>
      <c r="J935" s="254"/>
      <c r="K935" s="255"/>
      <c r="L935" s="256"/>
      <c r="M935" s="257"/>
      <c r="N935" s="258"/>
      <c r="O935" s="259"/>
      <c r="P935" s="260"/>
      <c r="Q935" s="260"/>
      <c r="R935" s="260"/>
    </row>
    <row r="936" ht="15.75" customHeight="1">
      <c r="E936" s="251"/>
      <c r="H936" s="252"/>
      <c r="I936" s="253"/>
      <c r="J936" s="254"/>
      <c r="K936" s="255"/>
      <c r="L936" s="256"/>
      <c r="M936" s="257"/>
      <c r="N936" s="258"/>
      <c r="O936" s="259"/>
      <c r="P936" s="260"/>
      <c r="Q936" s="260"/>
      <c r="R936" s="260"/>
    </row>
    <row r="937" ht="15.75" customHeight="1">
      <c r="E937" s="251"/>
      <c r="H937" s="252"/>
      <c r="I937" s="253"/>
      <c r="J937" s="254"/>
      <c r="K937" s="255"/>
      <c r="L937" s="256"/>
      <c r="M937" s="257"/>
      <c r="N937" s="258"/>
      <c r="O937" s="259"/>
      <c r="P937" s="260"/>
      <c r="Q937" s="260"/>
      <c r="R937" s="260"/>
    </row>
    <row r="938" ht="15.75" customHeight="1">
      <c r="E938" s="251"/>
      <c r="H938" s="252"/>
      <c r="I938" s="253"/>
      <c r="J938" s="254"/>
      <c r="K938" s="255"/>
      <c r="L938" s="256"/>
      <c r="M938" s="257"/>
      <c r="N938" s="258"/>
      <c r="O938" s="259"/>
      <c r="P938" s="260"/>
      <c r="Q938" s="260"/>
      <c r="R938" s="260"/>
    </row>
    <row r="939" ht="15.75" customHeight="1">
      <c r="E939" s="251"/>
      <c r="H939" s="252"/>
      <c r="I939" s="253"/>
      <c r="J939" s="254"/>
      <c r="K939" s="255"/>
      <c r="L939" s="256"/>
      <c r="M939" s="257"/>
      <c r="N939" s="258"/>
      <c r="O939" s="259"/>
      <c r="P939" s="260"/>
      <c r="Q939" s="260"/>
      <c r="R939" s="260"/>
    </row>
    <row r="940" ht="15.75" customHeight="1">
      <c r="E940" s="251"/>
      <c r="H940" s="252"/>
      <c r="I940" s="253"/>
      <c r="J940" s="254"/>
      <c r="K940" s="255"/>
      <c r="L940" s="256"/>
      <c r="M940" s="257"/>
      <c r="N940" s="258"/>
      <c r="O940" s="259"/>
      <c r="P940" s="260"/>
      <c r="Q940" s="260"/>
      <c r="R940" s="260"/>
    </row>
    <row r="941" ht="15.75" customHeight="1">
      <c r="E941" s="251"/>
      <c r="H941" s="252"/>
      <c r="I941" s="253"/>
      <c r="J941" s="254"/>
      <c r="K941" s="255"/>
      <c r="L941" s="256"/>
      <c r="M941" s="257"/>
      <c r="N941" s="258"/>
      <c r="O941" s="259"/>
      <c r="P941" s="260"/>
      <c r="Q941" s="260"/>
      <c r="R941" s="260"/>
    </row>
    <row r="942" ht="15.75" customHeight="1">
      <c r="E942" s="251"/>
      <c r="H942" s="252"/>
      <c r="I942" s="253"/>
      <c r="J942" s="254"/>
      <c r="K942" s="255"/>
      <c r="L942" s="256"/>
      <c r="M942" s="257"/>
      <c r="N942" s="258"/>
      <c r="O942" s="259"/>
      <c r="P942" s="260"/>
      <c r="Q942" s="260"/>
      <c r="R942" s="260"/>
    </row>
    <row r="943" ht="15.75" customHeight="1">
      <c r="E943" s="251"/>
      <c r="H943" s="252"/>
      <c r="I943" s="253"/>
      <c r="J943" s="254"/>
      <c r="K943" s="255"/>
      <c r="L943" s="256"/>
      <c r="M943" s="257"/>
      <c r="N943" s="258"/>
      <c r="O943" s="259"/>
      <c r="P943" s="260"/>
      <c r="Q943" s="260"/>
      <c r="R943" s="260"/>
    </row>
    <row r="944" ht="15.75" customHeight="1">
      <c r="E944" s="251"/>
      <c r="H944" s="252"/>
      <c r="I944" s="253"/>
      <c r="J944" s="254"/>
      <c r="K944" s="255"/>
      <c r="L944" s="256"/>
      <c r="M944" s="257"/>
      <c r="N944" s="258"/>
      <c r="O944" s="259"/>
      <c r="P944" s="260"/>
      <c r="Q944" s="260"/>
      <c r="R944" s="260"/>
    </row>
    <row r="945" ht="15.75" customHeight="1">
      <c r="E945" s="251"/>
      <c r="H945" s="252"/>
      <c r="I945" s="253"/>
      <c r="J945" s="254"/>
      <c r="K945" s="255"/>
      <c r="L945" s="256"/>
      <c r="M945" s="257"/>
      <c r="N945" s="258"/>
      <c r="O945" s="259"/>
      <c r="P945" s="260"/>
      <c r="Q945" s="260"/>
      <c r="R945" s="260"/>
    </row>
    <row r="946" ht="15.75" customHeight="1">
      <c r="E946" s="251"/>
      <c r="H946" s="252"/>
      <c r="I946" s="253"/>
      <c r="J946" s="254"/>
      <c r="K946" s="255"/>
      <c r="L946" s="256"/>
      <c r="M946" s="257"/>
      <c r="N946" s="258"/>
      <c r="O946" s="259"/>
      <c r="P946" s="260"/>
      <c r="Q946" s="260"/>
      <c r="R946" s="260"/>
    </row>
    <row r="947" ht="15.75" customHeight="1">
      <c r="E947" s="251"/>
      <c r="H947" s="252"/>
      <c r="I947" s="253"/>
      <c r="J947" s="254"/>
      <c r="K947" s="255"/>
      <c r="L947" s="256"/>
      <c r="M947" s="257"/>
      <c r="N947" s="258"/>
      <c r="O947" s="259"/>
      <c r="P947" s="260"/>
      <c r="Q947" s="260"/>
      <c r="R947" s="260"/>
    </row>
    <row r="948" ht="15.75" customHeight="1">
      <c r="E948" s="251"/>
      <c r="H948" s="252"/>
      <c r="I948" s="253"/>
      <c r="J948" s="254"/>
      <c r="K948" s="255"/>
      <c r="L948" s="256"/>
      <c r="M948" s="257"/>
      <c r="N948" s="258"/>
      <c r="O948" s="259"/>
      <c r="P948" s="260"/>
      <c r="Q948" s="260"/>
      <c r="R948" s="260"/>
    </row>
    <row r="949" ht="15.75" customHeight="1">
      <c r="E949" s="251"/>
      <c r="H949" s="252"/>
      <c r="I949" s="253"/>
      <c r="J949" s="254"/>
      <c r="K949" s="255"/>
      <c r="L949" s="256"/>
      <c r="M949" s="257"/>
      <c r="N949" s="258"/>
      <c r="O949" s="259"/>
      <c r="P949" s="260"/>
      <c r="Q949" s="260"/>
      <c r="R949" s="260"/>
    </row>
    <row r="950" ht="15.75" customHeight="1">
      <c r="E950" s="251"/>
      <c r="H950" s="252"/>
      <c r="I950" s="253"/>
      <c r="J950" s="254"/>
      <c r="K950" s="255"/>
      <c r="L950" s="256"/>
      <c r="M950" s="257"/>
      <c r="N950" s="258"/>
      <c r="O950" s="259"/>
      <c r="P950" s="260"/>
      <c r="Q950" s="260"/>
      <c r="R950" s="260"/>
    </row>
    <row r="951" ht="15.75" customHeight="1">
      <c r="E951" s="251"/>
      <c r="H951" s="252"/>
      <c r="I951" s="253"/>
      <c r="J951" s="254"/>
      <c r="K951" s="255"/>
      <c r="L951" s="256"/>
      <c r="M951" s="257"/>
      <c r="N951" s="258"/>
      <c r="O951" s="259"/>
      <c r="P951" s="260"/>
      <c r="Q951" s="260"/>
      <c r="R951" s="260"/>
    </row>
    <row r="952" ht="15.75" customHeight="1">
      <c r="E952" s="251"/>
      <c r="H952" s="252"/>
      <c r="I952" s="253"/>
      <c r="J952" s="254"/>
      <c r="K952" s="255"/>
      <c r="L952" s="256"/>
      <c r="M952" s="257"/>
      <c r="N952" s="258"/>
      <c r="O952" s="259"/>
      <c r="P952" s="260"/>
      <c r="Q952" s="260"/>
      <c r="R952" s="260"/>
    </row>
    <row r="953" ht="15.75" customHeight="1">
      <c r="E953" s="251"/>
      <c r="H953" s="252"/>
      <c r="I953" s="253"/>
      <c r="J953" s="254"/>
      <c r="K953" s="255"/>
      <c r="L953" s="256"/>
      <c r="M953" s="257"/>
      <c r="N953" s="258"/>
      <c r="O953" s="259"/>
      <c r="P953" s="260"/>
      <c r="Q953" s="260"/>
      <c r="R953" s="260"/>
    </row>
    <row r="954" ht="15.75" customHeight="1">
      <c r="E954" s="251"/>
      <c r="H954" s="252"/>
      <c r="I954" s="253"/>
      <c r="J954" s="254"/>
      <c r="K954" s="255"/>
      <c r="L954" s="256"/>
      <c r="M954" s="257"/>
      <c r="N954" s="258"/>
      <c r="O954" s="259"/>
      <c r="P954" s="260"/>
      <c r="Q954" s="260"/>
      <c r="R954" s="260"/>
    </row>
    <row r="955" ht="15.75" customHeight="1">
      <c r="E955" s="251"/>
      <c r="H955" s="252"/>
      <c r="I955" s="253"/>
      <c r="J955" s="254"/>
      <c r="K955" s="255"/>
      <c r="L955" s="256"/>
      <c r="M955" s="257"/>
      <c r="N955" s="258"/>
      <c r="O955" s="259"/>
      <c r="P955" s="260"/>
      <c r="Q955" s="260"/>
      <c r="R955" s="260"/>
    </row>
    <row r="956" ht="15.75" customHeight="1">
      <c r="E956" s="251"/>
      <c r="H956" s="252"/>
      <c r="I956" s="253"/>
      <c r="J956" s="254"/>
      <c r="K956" s="255"/>
      <c r="L956" s="256"/>
      <c r="M956" s="257"/>
      <c r="N956" s="258"/>
      <c r="O956" s="259"/>
      <c r="P956" s="260"/>
      <c r="Q956" s="260"/>
      <c r="R956" s="260"/>
    </row>
    <row r="957" ht="15.75" customHeight="1">
      <c r="E957" s="251"/>
      <c r="H957" s="252"/>
      <c r="I957" s="253"/>
      <c r="J957" s="254"/>
      <c r="K957" s="255"/>
      <c r="L957" s="256"/>
      <c r="M957" s="257"/>
      <c r="N957" s="258"/>
      <c r="O957" s="259"/>
      <c r="P957" s="260"/>
      <c r="Q957" s="260"/>
      <c r="R957" s="260"/>
    </row>
    <row r="958" ht="15.75" customHeight="1">
      <c r="E958" s="251"/>
      <c r="H958" s="252"/>
      <c r="I958" s="253"/>
      <c r="J958" s="254"/>
      <c r="K958" s="255"/>
      <c r="L958" s="256"/>
      <c r="M958" s="257"/>
      <c r="N958" s="258"/>
      <c r="O958" s="259"/>
      <c r="P958" s="260"/>
      <c r="Q958" s="260"/>
      <c r="R958" s="260"/>
    </row>
    <row r="959" ht="15.75" customHeight="1">
      <c r="E959" s="251"/>
      <c r="H959" s="252"/>
      <c r="I959" s="253"/>
      <c r="J959" s="254"/>
      <c r="K959" s="255"/>
      <c r="L959" s="256"/>
      <c r="M959" s="257"/>
      <c r="N959" s="258"/>
      <c r="O959" s="259"/>
      <c r="P959" s="260"/>
      <c r="Q959" s="260"/>
      <c r="R959" s="260"/>
    </row>
    <row r="960" ht="15.75" customHeight="1">
      <c r="E960" s="251"/>
      <c r="H960" s="252"/>
      <c r="I960" s="253"/>
      <c r="J960" s="254"/>
      <c r="K960" s="255"/>
      <c r="L960" s="256"/>
      <c r="M960" s="257"/>
      <c r="N960" s="258"/>
      <c r="O960" s="259"/>
      <c r="P960" s="260"/>
      <c r="Q960" s="260"/>
      <c r="R960" s="260"/>
    </row>
    <row r="961" ht="15.75" customHeight="1">
      <c r="E961" s="251"/>
      <c r="H961" s="252"/>
      <c r="I961" s="253"/>
      <c r="J961" s="254"/>
      <c r="K961" s="255"/>
      <c r="L961" s="256"/>
      <c r="M961" s="257"/>
      <c r="N961" s="258"/>
      <c r="O961" s="259"/>
      <c r="P961" s="260"/>
      <c r="Q961" s="260"/>
      <c r="R961" s="260"/>
    </row>
    <row r="962" ht="15.75" customHeight="1">
      <c r="E962" s="251"/>
      <c r="H962" s="252"/>
      <c r="I962" s="253"/>
      <c r="J962" s="254"/>
      <c r="K962" s="255"/>
      <c r="L962" s="256"/>
      <c r="M962" s="257"/>
      <c r="N962" s="258"/>
      <c r="O962" s="259"/>
      <c r="P962" s="260"/>
      <c r="Q962" s="260"/>
      <c r="R962" s="260"/>
    </row>
    <row r="963" ht="15.75" customHeight="1">
      <c r="E963" s="251"/>
      <c r="H963" s="252"/>
      <c r="I963" s="253"/>
      <c r="J963" s="254"/>
      <c r="K963" s="255"/>
      <c r="L963" s="256"/>
      <c r="M963" s="257"/>
      <c r="N963" s="258"/>
      <c r="O963" s="259"/>
      <c r="P963" s="260"/>
      <c r="Q963" s="260"/>
      <c r="R963" s="260"/>
    </row>
    <row r="964" ht="15.75" customHeight="1">
      <c r="E964" s="251"/>
      <c r="H964" s="252"/>
      <c r="I964" s="253"/>
      <c r="J964" s="254"/>
      <c r="K964" s="255"/>
      <c r="L964" s="256"/>
      <c r="M964" s="257"/>
      <c r="N964" s="258"/>
      <c r="O964" s="259"/>
      <c r="P964" s="260"/>
      <c r="Q964" s="260"/>
      <c r="R964" s="260"/>
    </row>
    <row r="965" ht="15.75" customHeight="1">
      <c r="E965" s="251"/>
      <c r="H965" s="252"/>
      <c r="I965" s="253"/>
      <c r="J965" s="254"/>
      <c r="K965" s="255"/>
      <c r="L965" s="256"/>
      <c r="M965" s="257"/>
      <c r="N965" s="258"/>
      <c r="O965" s="259"/>
      <c r="P965" s="260"/>
      <c r="Q965" s="260"/>
      <c r="R965" s="260"/>
    </row>
    <row r="966" ht="15.75" customHeight="1">
      <c r="E966" s="251"/>
      <c r="H966" s="252"/>
      <c r="I966" s="253"/>
      <c r="J966" s="254"/>
      <c r="K966" s="255"/>
      <c r="L966" s="256"/>
      <c r="M966" s="257"/>
      <c r="N966" s="258"/>
      <c r="O966" s="259"/>
      <c r="P966" s="260"/>
      <c r="Q966" s="260"/>
      <c r="R966" s="260"/>
    </row>
    <row r="967" ht="15.75" customHeight="1">
      <c r="E967" s="251"/>
      <c r="H967" s="252"/>
      <c r="I967" s="253"/>
      <c r="J967" s="254"/>
      <c r="K967" s="255"/>
      <c r="L967" s="256"/>
      <c r="M967" s="257"/>
      <c r="N967" s="258"/>
      <c r="O967" s="259"/>
      <c r="P967" s="260"/>
      <c r="Q967" s="260"/>
      <c r="R967" s="260"/>
    </row>
    <row r="968" ht="15.75" customHeight="1">
      <c r="E968" s="251"/>
      <c r="H968" s="252"/>
      <c r="I968" s="253"/>
      <c r="J968" s="254"/>
      <c r="K968" s="255"/>
      <c r="L968" s="256"/>
      <c r="M968" s="257"/>
      <c r="N968" s="258"/>
      <c r="O968" s="259"/>
      <c r="P968" s="260"/>
      <c r="Q968" s="260"/>
      <c r="R968" s="260"/>
    </row>
    <row r="969" ht="15.75" customHeight="1">
      <c r="E969" s="251"/>
      <c r="H969" s="252"/>
      <c r="I969" s="253"/>
      <c r="J969" s="254"/>
      <c r="K969" s="255"/>
      <c r="L969" s="256"/>
      <c r="M969" s="257"/>
      <c r="N969" s="258"/>
      <c r="O969" s="259"/>
      <c r="P969" s="260"/>
      <c r="Q969" s="260"/>
      <c r="R969" s="260"/>
    </row>
    <row r="970" ht="15.75" customHeight="1">
      <c r="E970" s="251"/>
      <c r="H970" s="252"/>
      <c r="I970" s="253"/>
      <c r="J970" s="254"/>
      <c r="K970" s="255"/>
      <c r="L970" s="256"/>
      <c r="M970" s="257"/>
      <c r="N970" s="258"/>
      <c r="O970" s="259"/>
      <c r="P970" s="260"/>
      <c r="Q970" s="260"/>
      <c r="R970" s="260"/>
    </row>
    <row r="971" ht="15.75" customHeight="1">
      <c r="E971" s="251"/>
      <c r="H971" s="252"/>
      <c r="I971" s="253"/>
      <c r="J971" s="254"/>
      <c r="K971" s="255"/>
      <c r="L971" s="256"/>
      <c r="M971" s="257"/>
      <c r="N971" s="258"/>
      <c r="O971" s="259"/>
      <c r="P971" s="260"/>
      <c r="Q971" s="260"/>
      <c r="R971" s="260"/>
    </row>
    <row r="972" ht="15.75" customHeight="1">
      <c r="E972" s="251"/>
      <c r="H972" s="252"/>
      <c r="I972" s="253"/>
      <c r="J972" s="254"/>
      <c r="K972" s="255"/>
      <c r="L972" s="256"/>
      <c r="M972" s="257"/>
      <c r="N972" s="258"/>
      <c r="O972" s="259"/>
      <c r="P972" s="260"/>
      <c r="Q972" s="260"/>
      <c r="R972" s="260"/>
    </row>
    <row r="973" ht="15.75" customHeight="1">
      <c r="E973" s="251"/>
      <c r="H973" s="252"/>
      <c r="I973" s="253"/>
      <c r="J973" s="254"/>
      <c r="K973" s="255"/>
      <c r="L973" s="256"/>
      <c r="M973" s="257"/>
      <c r="N973" s="258"/>
      <c r="O973" s="259"/>
      <c r="P973" s="260"/>
      <c r="Q973" s="260"/>
      <c r="R973" s="260"/>
    </row>
    <row r="974" ht="15.75" customHeight="1">
      <c r="E974" s="251"/>
      <c r="H974" s="252"/>
      <c r="I974" s="253"/>
      <c r="J974" s="254"/>
      <c r="K974" s="255"/>
      <c r="L974" s="256"/>
      <c r="M974" s="257"/>
      <c r="N974" s="258"/>
      <c r="O974" s="259"/>
      <c r="P974" s="260"/>
      <c r="Q974" s="260"/>
      <c r="R974" s="260"/>
    </row>
    <row r="975" ht="15.75" customHeight="1">
      <c r="E975" s="251"/>
      <c r="H975" s="252"/>
      <c r="I975" s="253"/>
      <c r="J975" s="254"/>
      <c r="K975" s="255"/>
      <c r="L975" s="256"/>
      <c r="M975" s="257"/>
      <c r="N975" s="258"/>
      <c r="O975" s="259"/>
      <c r="P975" s="260"/>
      <c r="Q975" s="260"/>
      <c r="R975" s="260"/>
    </row>
    <row r="976" ht="15.75" customHeight="1">
      <c r="E976" s="251"/>
      <c r="H976" s="252"/>
      <c r="I976" s="253"/>
      <c r="J976" s="254"/>
      <c r="K976" s="255"/>
      <c r="L976" s="256"/>
      <c r="M976" s="257"/>
      <c r="N976" s="258"/>
      <c r="O976" s="259"/>
      <c r="P976" s="260"/>
      <c r="Q976" s="260"/>
      <c r="R976" s="260"/>
    </row>
    <row r="977" ht="15.75" customHeight="1">
      <c r="E977" s="251"/>
      <c r="H977" s="252"/>
      <c r="I977" s="253"/>
      <c r="J977" s="254"/>
      <c r="K977" s="255"/>
      <c r="L977" s="256"/>
      <c r="M977" s="257"/>
      <c r="N977" s="258"/>
      <c r="O977" s="259"/>
      <c r="P977" s="260"/>
      <c r="Q977" s="260"/>
      <c r="R977" s="260"/>
    </row>
    <row r="978" ht="15.75" customHeight="1">
      <c r="E978" s="251"/>
      <c r="H978" s="252"/>
      <c r="I978" s="253"/>
      <c r="J978" s="254"/>
      <c r="K978" s="255"/>
      <c r="L978" s="256"/>
      <c r="M978" s="257"/>
      <c r="N978" s="258"/>
      <c r="O978" s="259"/>
      <c r="P978" s="260"/>
      <c r="Q978" s="260"/>
      <c r="R978" s="260"/>
    </row>
    <row r="979" ht="15.75" customHeight="1">
      <c r="E979" s="251"/>
      <c r="H979" s="252"/>
      <c r="I979" s="253"/>
      <c r="J979" s="254"/>
      <c r="K979" s="255"/>
      <c r="L979" s="256"/>
      <c r="M979" s="257"/>
      <c r="N979" s="258"/>
      <c r="O979" s="259"/>
      <c r="P979" s="260"/>
      <c r="Q979" s="260"/>
      <c r="R979" s="260"/>
    </row>
    <row r="980" ht="15.75" customHeight="1">
      <c r="E980" s="251"/>
      <c r="H980" s="252"/>
      <c r="I980" s="253"/>
      <c r="J980" s="254"/>
      <c r="K980" s="255"/>
      <c r="L980" s="256"/>
      <c r="M980" s="257"/>
      <c r="N980" s="258"/>
      <c r="O980" s="259"/>
      <c r="P980" s="260"/>
      <c r="Q980" s="260"/>
      <c r="R980" s="260"/>
    </row>
    <row r="981" ht="15.75" customHeight="1">
      <c r="E981" s="251"/>
      <c r="H981" s="252"/>
      <c r="I981" s="253"/>
      <c r="J981" s="254"/>
      <c r="K981" s="255"/>
      <c r="L981" s="256"/>
      <c r="M981" s="257"/>
      <c r="N981" s="258"/>
      <c r="O981" s="259"/>
      <c r="P981" s="260"/>
      <c r="Q981" s="260"/>
      <c r="R981" s="260"/>
    </row>
    <row r="982" ht="15.75" customHeight="1">
      <c r="E982" s="251"/>
      <c r="H982" s="252"/>
      <c r="I982" s="253"/>
      <c r="J982" s="254"/>
      <c r="K982" s="255"/>
      <c r="L982" s="256"/>
      <c r="M982" s="257"/>
      <c r="N982" s="258"/>
      <c r="O982" s="259"/>
      <c r="P982" s="260"/>
      <c r="Q982" s="260"/>
      <c r="R982" s="260"/>
    </row>
    <row r="983" ht="15.75" customHeight="1">
      <c r="E983" s="251"/>
      <c r="H983" s="252"/>
      <c r="I983" s="253"/>
      <c r="J983" s="254"/>
      <c r="K983" s="255"/>
      <c r="L983" s="256"/>
      <c r="M983" s="257"/>
      <c r="N983" s="258"/>
      <c r="O983" s="259"/>
      <c r="P983" s="260"/>
      <c r="Q983" s="260"/>
      <c r="R983" s="260"/>
    </row>
    <row r="984" ht="15.75" customHeight="1">
      <c r="E984" s="251"/>
      <c r="H984" s="252"/>
      <c r="I984" s="253"/>
      <c r="J984" s="254"/>
      <c r="K984" s="255"/>
      <c r="L984" s="256"/>
      <c r="M984" s="257"/>
      <c r="N984" s="258"/>
      <c r="O984" s="259"/>
      <c r="P984" s="260"/>
      <c r="Q984" s="260"/>
      <c r="R984" s="260"/>
    </row>
    <row r="985" ht="15.75" customHeight="1">
      <c r="E985" s="251"/>
      <c r="H985" s="252"/>
      <c r="I985" s="253"/>
      <c r="J985" s="254"/>
      <c r="K985" s="255"/>
      <c r="L985" s="256"/>
      <c r="M985" s="257"/>
      <c r="N985" s="258"/>
      <c r="O985" s="259"/>
      <c r="P985" s="260"/>
      <c r="Q985" s="260"/>
      <c r="R985" s="260"/>
    </row>
    <row r="986" ht="15.75" customHeight="1">
      <c r="E986" s="251"/>
      <c r="H986" s="252"/>
      <c r="I986" s="253"/>
      <c r="J986" s="254"/>
      <c r="K986" s="255"/>
      <c r="L986" s="256"/>
      <c r="M986" s="257"/>
      <c r="N986" s="258"/>
      <c r="O986" s="259"/>
      <c r="P986" s="260"/>
      <c r="Q986" s="260"/>
      <c r="R986" s="260"/>
    </row>
    <row r="987" ht="15.75" customHeight="1">
      <c r="E987" s="251"/>
      <c r="H987" s="252"/>
      <c r="I987" s="253"/>
      <c r="J987" s="254"/>
      <c r="K987" s="255"/>
      <c r="L987" s="256"/>
      <c r="M987" s="257"/>
      <c r="N987" s="258"/>
      <c r="O987" s="259"/>
      <c r="P987" s="260"/>
      <c r="Q987" s="260"/>
      <c r="R987" s="260"/>
    </row>
    <row r="988" ht="15.75" customHeight="1">
      <c r="E988" s="251"/>
      <c r="H988" s="252"/>
      <c r="I988" s="253"/>
      <c r="J988" s="254"/>
      <c r="K988" s="255"/>
      <c r="L988" s="256"/>
      <c r="M988" s="257"/>
      <c r="N988" s="258"/>
      <c r="O988" s="259"/>
      <c r="P988" s="260"/>
      <c r="Q988" s="260"/>
      <c r="R988" s="260"/>
    </row>
    <row r="989" ht="15.75" customHeight="1">
      <c r="E989" s="251"/>
      <c r="H989" s="252"/>
      <c r="I989" s="253"/>
      <c r="J989" s="254"/>
      <c r="K989" s="255"/>
      <c r="L989" s="256"/>
      <c r="M989" s="257"/>
      <c r="N989" s="258"/>
      <c r="O989" s="259"/>
      <c r="P989" s="260"/>
      <c r="Q989" s="260"/>
      <c r="R989" s="260"/>
    </row>
    <row r="990" ht="15.75" customHeight="1">
      <c r="E990" s="251"/>
      <c r="H990" s="252"/>
      <c r="I990" s="253"/>
      <c r="J990" s="254"/>
      <c r="K990" s="255"/>
      <c r="L990" s="256"/>
      <c r="M990" s="257"/>
      <c r="N990" s="258"/>
      <c r="O990" s="259"/>
      <c r="P990" s="260"/>
      <c r="Q990" s="260"/>
      <c r="R990" s="260"/>
    </row>
    <row r="991" ht="15.75" customHeight="1">
      <c r="E991" s="251"/>
      <c r="H991" s="252"/>
      <c r="I991" s="253"/>
      <c r="J991" s="254"/>
      <c r="K991" s="255"/>
      <c r="L991" s="256"/>
      <c r="M991" s="257"/>
      <c r="N991" s="258"/>
      <c r="O991" s="259"/>
      <c r="P991" s="260"/>
      <c r="Q991" s="260"/>
      <c r="R991" s="260"/>
    </row>
    <row r="992" ht="15.75" customHeight="1">
      <c r="E992" s="251"/>
      <c r="H992" s="252"/>
      <c r="I992" s="253"/>
      <c r="J992" s="254"/>
      <c r="K992" s="255"/>
      <c r="L992" s="256"/>
      <c r="M992" s="257"/>
      <c r="N992" s="258"/>
      <c r="O992" s="259"/>
      <c r="P992" s="260"/>
      <c r="Q992" s="260"/>
      <c r="R992" s="260"/>
    </row>
    <row r="993" ht="15.75" customHeight="1">
      <c r="E993" s="251"/>
      <c r="H993" s="252"/>
      <c r="I993" s="253"/>
      <c r="J993" s="254"/>
      <c r="K993" s="255"/>
      <c r="L993" s="256"/>
      <c r="M993" s="257"/>
      <c r="N993" s="258"/>
      <c r="O993" s="259"/>
      <c r="P993" s="260"/>
      <c r="Q993" s="260"/>
      <c r="R993" s="260"/>
    </row>
    <row r="994" ht="15.75" customHeight="1">
      <c r="E994" s="251"/>
      <c r="H994" s="252"/>
      <c r="I994" s="253"/>
      <c r="J994" s="254"/>
      <c r="K994" s="255"/>
      <c r="L994" s="256"/>
      <c r="M994" s="257"/>
      <c r="N994" s="258"/>
      <c r="O994" s="259"/>
      <c r="P994" s="260"/>
      <c r="Q994" s="260"/>
      <c r="R994" s="260"/>
    </row>
    <row r="995" ht="15.75" customHeight="1">
      <c r="E995" s="251"/>
      <c r="H995" s="252"/>
      <c r="I995" s="253"/>
      <c r="J995" s="254"/>
      <c r="K995" s="255"/>
      <c r="L995" s="256"/>
      <c r="M995" s="257"/>
      <c r="N995" s="258"/>
      <c r="O995" s="259"/>
      <c r="P995" s="260"/>
      <c r="Q995" s="260"/>
      <c r="R995" s="260"/>
    </row>
    <row r="996" ht="15.75" customHeight="1">
      <c r="E996" s="251"/>
      <c r="H996" s="252"/>
      <c r="I996" s="253"/>
      <c r="J996" s="254"/>
      <c r="K996" s="255"/>
      <c r="L996" s="256"/>
      <c r="M996" s="257"/>
      <c r="N996" s="258"/>
      <c r="O996" s="259"/>
      <c r="P996" s="260"/>
      <c r="Q996" s="260"/>
      <c r="R996" s="260"/>
    </row>
    <row r="997" ht="15.75" customHeight="1">
      <c r="E997" s="251"/>
      <c r="H997" s="252"/>
      <c r="I997" s="253"/>
      <c r="J997" s="254"/>
      <c r="K997" s="255"/>
      <c r="L997" s="256"/>
      <c r="M997" s="257"/>
      <c r="N997" s="258"/>
      <c r="O997" s="259"/>
      <c r="P997" s="260"/>
      <c r="Q997" s="260"/>
      <c r="R997" s="260"/>
    </row>
    <row r="998" ht="15.75" customHeight="1">
      <c r="E998" s="251"/>
      <c r="H998" s="252"/>
      <c r="I998" s="253"/>
      <c r="J998" s="254"/>
      <c r="K998" s="255"/>
      <c r="L998" s="256"/>
      <c r="M998" s="257"/>
      <c r="N998" s="258"/>
      <c r="O998" s="259"/>
      <c r="P998" s="260"/>
      <c r="Q998" s="260"/>
      <c r="R998" s="260"/>
    </row>
    <row r="999" ht="15.75" customHeight="1">
      <c r="E999" s="251"/>
      <c r="H999" s="252"/>
      <c r="I999" s="253"/>
      <c r="J999" s="254"/>
      <c r="K999" s="255"/>
      <c r="L999" s="256"/>
      <c r="M999" s="257"/>
      <c r="N999" s="258"/>
      <c r="O999" s="259"/>
      <c r="P999" s="260"/>
      <c r="Q999" s="260"/>
      <c r="R999" s="260"/>
    </row>
    <row r="1000" ht="15.75" customHeight="1">
      <c r="E1000" s="251"/>
      <c r="H1000" s="252"/>
      <c r="I1000" s="253"/>
      <c r="J1000" s="254"/>
      <c r="K1000" s="255"/>
      <c r="L1000" s="256"/>
      <c r="M1000" s="257"/>
      <c r="N1000" s="258"/>
      <c r="O1000" s="259"/>
      <c r="P1000" s="260"/>
      <c r="Q1000" s="260"/>
      <c r="R1000" s="260"/>
    </row>
  </sheetData>
  <mergeCells count="10">
    <mergeCell ref="A67:H67"/>
    <mergeCell ref="A75:H75"/>
    <mergeCell ref="A86:H86"/>
    <mergeCell ref="A3:H3"/>
    <mergeCell ref="P3:R3"/>
    <mergeCell ref="A37:H37"/>
    <mergeCell ref="A44:H44"/>
    <mergeCell ref="A46:H46"/>
    <mergeCell ref="A48:H48"/>
    <mergeCell ref="A64:H64"/>
  </mergeCells>
  <hyperlinks>
    <hyperlink r:id="rId1" ref="U4"/>
    <hyperlink r:id="rId2" ref="U5"/>
    <hyperlink r:id="rId3" ref="U6"/>
    <hyperlink r:id="rId4" ref="U7"/>
    <hyperlink r:id="rId5" ref="U8"/>
    <hyperlink r:id="rId6" ref="U9"/>
    <hyperlink r:id="rId7" ref="U10"/>
    <hyperlink r:id="rId8" ref="U11"/>
    <hyperlink r:id="rId9" ref="U12"/>
    <hyperlink r:id="rId10" ref="U13"/>
    <hyperlink r:id="rId11" ref="U14"/>
    <hyperlink r:id="rId12" ref="U15"/>
    <hyperlink r:id="rId13" ref="U16"/>
    <hyperlink r:id="rId14" ref="U17"/>
    <hyperlink r:id="rId15" ref="U18"/>
    <hyperlink r:id="rId16" ref="U19"/>
    <hyperlink r:id="rId17" ref="U20"/>
    <hyperlink r:id="rId18" ref="U24"/>
    <hyperlink r:id="rId19" ref="U35"/>
    <hyperlink r:id="rId20" ref="U36"/>
    <hyperlink r:id="rId21" ref="U38"/>
    <hyperlink r:id="rId22" ref="U40"/>
    <hyperlink r:id="rId23" ref="U41"/>
    <hyperlink r:id="rId24" ref="U42"/>
    <hyperlink r:id="rId25" ref="U45"/>
    <hyperlink r:id="rId26" ref="U47"/>
    <hyperlink r:id="rId27" ref="U51"/>
    <hyperlink r:id="rId28" ref="U52"/>
    <hyperlink r:id="rId29" ref="U68"/>
    <hyperlink r:id="rId30" ref="U70"/>
    <hyperlink r:id="rId31" ref="U72"/>
    <hyperlink r:id="rId32" ref="U73"/>
    <hyperlink r:id="rId33" ref="U74"/>
    <hyperlink r:id="rId34" ref="U81"/>
    <hyperlink r:id="rId35" ref="U82"/>
    <hyperlink r:id="rId36" ref="U83"/>
    <hyperlink r:id="rId37" ref="U84"/>
    <hyperlink r:id="rId38" ref="U87"/>
    <hyperlink r:id="rId39" ref="U88"/>
    <hyperlink r:id="rId40" ref="U89"/>
    <hyperlink r:id="rId41" ref="U90"/>
    <hyperlink r:id="rId42" ref="U91"/>
    <hyperlink r:id="rId43" ref="U92"/>
    <hyperlink r:id="rId44" ref="U93"/>
    <hyperlink r:id="rId45" ref="U94"/>
    <hyperlink r:id="rId46" ref="U95"/>
  </hyperlinks>
  <printOptions/>
  <pageMargins bottom="0.75" footer="0.0" header="0.0" left="0.7" right="0.7" top="0.75"/>
  <pageSetup orientation="landscape"/>
  <drawing r:id="rId4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2026-01-29T03:36:53Z</dcterms:created>
  <dc:creator>mugis-it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2024-09-13T00:00:00Z</vt:filetime>
  </property>
  <property fmtid="{D5CDD505-2E9C-101B-9397-08002B2CF9AE}" pid="3" name="Creator">
    <vt:lpwstr>Nitro Pro 13 (13.2.3.26)</vt:lpwstr>
  </property>
  <property fmtid="{D5CDD505-2E9C-101B-9397-08002B2CF9AE}" pid="4" name="LastSaved">
    <vt:filetime>2026-01-29T00:00:00Z</vt:filetime>
  </property>
  <property fmtid="{D5CDD505-2E9C-101B-9397-08002B2CF9AE}" pid="5" name="Producer">
    <vt:lpwstr>Nitro Pro 13 (13.2.3.26)</vt:lpwstr>
  </property>
</Properties>
</file>